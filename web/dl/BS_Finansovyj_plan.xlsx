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рт" sheetId="1" state="visible" r:id="rId1"/>
    <sheet xmlns:r="http://schemas.openxmlformats.org/officeDocument/2006/relationships" name="Дашборд" sheetId="2" state="visible" r:id="rId2"/>
    <sheet xmlns:r="http://schemas.openxmlformats.org/officeDocument/2006/relationships" name="Доходы" sheetId="3" state="visible" r:id="rId3"/>
    <sheet xmlns:r="http://schemas.openxmlformats.org/officeDocument/2006/relationships" name="Расходы" sheetId="4" state="visible" r:id="rId4"/>
    <sheet xmlns:r="http://schemas.openxmlformats.org/officeDocument/2006/relationships" name="Капитал" sheetId="5" state="visible" r:id="rId5"/>
    <sheet xmlns:r="http://schemas.openxmlformats.org/officeDocument/2006/relationships" name="Цели" sheetId="6" state="visible" r:id="rId6"/>
    <sheet xmlns:r="http://schemas.openxmlformats.org/officeDocument/2006/relationships" name="Правила" sheetId="7" state="visible" r:id="rId7"/>
    <sheet xmlns:r="http://schemas.openxmlformats.org/officeDocument/2006/relationships" name="Год" sheetId="8" state="visible" r:id="rId8"/>
  </sheets>
  <definedNames>
    <definedName name="_xlnm.Print_Area" localSheetId="0">'Старт'!$A$1:$I$35</definedName>
    <definedName name="_xlnm.Print_Area" localSheetId="1">'Дашборд'!$A$1:$L$70</definedName>
    <definedName name="_xlnm.Print_Titles" localSheetId="2">'Доходы'!$7:$7</definedName>
    <definedName name="_xlnm.Print_Area" localSheetId="2">'Доходы'!$A$1:$R$33</definedName>
    <definedName name="_xlnm.Print_Titles" localSheetId="3">'Расходы'!$7:$7</definedName>
    <definedName name="_xlnm.Print_Area" localSheetId="3">'Расходы'!$A$1:$S$63</definedName>
    <definedName name="_xlnm.Print_Titles" localSheetId="4">'Капитал'!$7:$7</definedName>
    <definedName name="_xlnm.Print_Area" localSheetId="4">'Капитал'!$A$1:$Q$55</definedName>
    <definedName name="_xlnm.Print_Titles" localSheetId="5">'Цели'!$7:$7</definedName>
    <definedName name="_xlnm.Print_Area" localSheetId="5">'Цели'!$A$1:$M$26</definedName>
    <definedName name="_xlnm.Print_Area" localSheetId="6">'Правила'!$A$1:$J$29</definedName>
    <definedName name="_xlnm.Print_Titles" localSheetId="7">'Год'!$7:$7</definedName>
    <definedName name="_xlnm.Print_Area" localSheetId="7">'Год'!$A$1:$L$39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#,##0.00 &quot;₸&quot;"/>
    <numFmt numFmtId="165" formatCode="0%;-0%;0%"/>
    <numFmt numFmtId="166" formatCode="0 &quot;мес.&quot;"/>
    <numFmt numFmtId="167" formatCode="DD.MM.YYYY"/>
    <numFmt numFmtId="168" formatCode="#,##0 &quot;₸&quot;;-#,##0 &quot;₸&quot;;&quot;0 ₸&quot;"/>
    <numFmt numFmtId="169" formatCode="#,##0 &quot;₸&quot;;-#,##0 &quot;₸&quot;;&quot;-&quot;"/>
    <numFmt numFmtId="170" formatCode="#,##0 &quot;$&quot;;-#,##0 &quot;$&quot;;&quot;-&quot;"/>
    <numFmt numFmtId="171" formatCode="0.0 &quot;мес.&quot;"/>
    <numFmt numFmtId="172" formatCode="yyyy-mm-dd"/>
    <numFmt numFmtId="173" formatCode="&quot;№ &quot;0"/>
    <numFmt numFmtId="174" formatCode="0.0%;-0.0%;0.0%"/>
  </numFmts>
  <fonts count="2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B9B9B9"/>
      <sz val="10"/>
    </font>
    <font>
      <name val="Arial"/>
      <b val="1"/>
      <color rgb="00000000"/>
      <sz val="20"/>
    </font>
    <font>
      <name val="Arial"/>
      <color rgb="00555555"/>
      <sz val="10"/>
    </font>
    <font>
      <name val="Arial"/>
      <b val="1"/>
      <color rgb="009A9A9A"/>
      <sz val="9"/>
    </font>
    <font>
      <name val="Arial"/>
      <b val="1"/>
      <color rgb="00000000"/>
      <sz val="11"/>
    </font>
    <font>
      <name val="Arial"/>
      <color rgb="00555555"/>
      <sz val="9"/>
    </font>
    <font>
      <name val="Arial"/>
      <b val="1"/>
      <color rgb="00555555"/>
      <sz val="9"/>
    </font>
    <font>
      <name val="Arial"/>
      <b val="1"/>
      <color rgb="00FF6B6F"/>
      <sz val="9"/>
    </font>
    <font>
      <name val="Arial"/>
      <color rgb="00000000"/>
      <sz val="10"/>
    </font>
    <font>
      <name val="Arial"/>
      <color rgb="009A9A9A"/>
      <sz val="9"/>
    </font>
    <font>
      <name val="Arial"/>
      <b val="1"/>
      <color rgb="00FFFFFF"/>
      <sz val="12"/>
    </font>
    <font>
      <name val="Arial"/>
      <b val="1"/>
      <color rgb="00000000"/>
      <sz val="10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color rgb="00000000"/>
      <sz val="12"/>
    </font>
    <font>
      <name val="Arial"/>
      <b val="1"/>
      <color rgb="009A9A9A"/>
      <sz val="10"/>
    </font>
    <font>
      <name val="Arial"/>
      <color rgb="009A9A9A"/>
      <sz val="8"/>
    </font>
    <font>
      <name val="Arial"/>
      <b val="1"/>
      <color rgb="00FFFFFF"/>
      <sz val="13"/>
    </font>
    <font>
      <name val="Arial"/>
      <b val="1"/>
      <color rgb="00B9B9B9"/>
      <sz val="9"/>
    </font>
    <font>
      <name val="Arial"/>
      <b val="1"/>
      <color rgb="00FFFFFF"/>
      <sz val="18"/>
    </font>
    <font>
      <name val="Arial"/>
      <color rgb="00B9B9B9"/>
      <sz val="8"/>
    </font>
    <font>
      <name val="Arial"/>
      <b val="1"/>
      <color rgb="00000000"/>
      <sz val="18"/>
    </font>
    <font>
      <name val="Arial"/>
      <color rgb="00555555"/>
      <sz val="8"/>
    </font>
    <font>
      <name val="Arial"/>
      <b val="1"/>
      <color rgb="009A9A9A"/>
      <sz val="8"/>
    </font>
  </fonts>
  <fills count="7">
    <fill>
      <patternFill/>
    </fill>
    <fill>
      <patternFill patternType="gray125"/>
    </fill>
    <fill>
      <patternFill patternType="solid"/>
    </fill>
    <fill>
      <patternFill patternType="solid">
        <fgColor rgb="00FFFFFF"/>
        <bgColor rgb="00FFFFFF"/>
      </patternFill>
    </fill>
    <fill>
      <patternFill patternType="solid">
        <fgColor rgb="00F3F3F3"/>
        <bgColor rgb="00F3F3F3"/>
      </patternFill>
    </fill>
    <fill>
      <patternFill patternType="solid">
        <fgColor rgb="00E6E6E6"/>
        <bgColor rgb="00E6E6E6"/>
      </patternFill>
    </fill>
    <fill>
      <patternFill patternType="solid">
        <fgColor rgb="00FAFAFA"/>
        <bgColor rgb="00FAFAFA"/>
      </patternFill>
    </fill>
  </fills>
  <borders count="8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thin">
        <color rgb="00D4D4D4"/>
      </bottom>
    </border>
    <border>
      <top style="thin">
        <color rgb="00000000"/>
      </top>
    </border>
    <border>
      <top style="thin">
        <color rgb="00D4D4D4"/>
      </top>
      <bottom style="thin">
        <color rgb="00D4D4D4"/>
      </bottom>
    </border>
    <border>
      <bottom style="thin">
        <color rgb="00000000"/>
      </bottom>
    </border>
  </borders>
  <cellStyleXfs count="1">
    <xf numFmtId="0" fontId="0" fillId="0" borderId="0"/>
  </cellStyleXfs>
  <cellXfs count="120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3" borderId="1" pivotButton="0" quotePrefix="0" xfId="0"/>
    <xf numFmtId="0" fontId="0" fillId="4" borderId="2" pivotButton="0" quotePrefix="0" xfId="0"/>
    <xf numFmtId="0" fontId="0" fillId="2" borderId="2" pivotButton="0" quotePrefix="0" xfId="0"/>
    <xf numFmtId="0" fontId="9" fillId="0" borderId="0" applyAlignment="1" pivotButton="0" quotePrefix="0" xfId="0">
      <alignment horizontal="center"/>
    </xf>
    <xf numFmtId="0" fontId="0" fillId="0" borderId="2" pivotButton="0" quotePrefix="0" xfId="0"/>
    <xf numFmtId="0" fontId="10" fillId="0" borderId="4" applyAlignment="1" pivotButton="0" quotePrefix="0" xfId="0">
      <alignment vertical="center"/>
    </xf>
    <xf numFmtId="49" fontId="6" fillId="0" borderId="3" applyAlignment="1" pivotButton="0" quotePrefix="0" xfId="0">
      <alignment horizontal="right" vertical="center" indent="1"/>
    </xf>
    <xf numFmtId="0" fontId="11" fillId="0" borderId="0" applyAlignment="1" pivotButton="0" quotePrefix="0" xfId="0">
      <alignment vertical="center"/>
    </xf>
    <xf numFmtId="1" fontId="6" fillId="0" borderId="3" applyAlignment="1" pivotButton="0" quotePrefix="0" xfId="0">
      <alignment horizontal="right" vertical="center" indent="1"/>
    </xf>
    <xf numFmtId="164" fontId="6" fillId="0" borderId="3" applyAlignment="1" pivotButton="0" quotePrefix="0" xfId="0">
      <alignment horizontal="right" vertical="center" indent="1"/>
    </xf>
    <xf numFmtId="165" fontId="6" fillId="0" borderId="3" applyAlignment="1" pivotButton="0" quotePrefix="0" xfId="0">
      <alignment horizontal="right" vertical="center" indent="1"/>
    </xf>
    <xf numFmtId="166" fontId="6" fillId="0" borderId="3" applyAlignment="1" pivotButton="0" quotePrefix="0" xfId="0">
      <alignment horizontal="right" vertical="center" indent="1"/>
    </xf>
    <xf numFmtId="167" fontId="6" fillId="0" borderId="3" applyAlignment="1" pivotButton="0" quotePrefix="0" xfId="0">
      <alignment horizontal="right" vertical="center" indent="1"/>
    </xf>
    <xf numFmtId="1" fontId="6" fillId="4" borderId="0" applyAlignment="1" pivotButton="0" quotePrefix="0" xfId="0">
      <alignment horizontal="right" vertical="center" indent="1"/>
    </xf>
    <xf numFmtId="0" fontId="12" fillId="2" borderId="0" applyAlignment="1" pivotButton="0" quotePrefix="0" xfId="0">
      <alignment horizontal="center" vertical="center"/>
    </xf>
    <xf numFmtId="0" fontId="6" fillId="0" borderId="4" applyAlignment="1" pivotButton="0" quotePrefix="0" xfId="0">
      <alignment vertical="center" indent="1"/>
    </xf>
    <xf numFmtId="0" fontId="4" fillId="0" borderId="4" applyAlignment="1" pivotButton="0" quotePrefix="0" xfId="0">
      <alignment vertical="center" wrapText="1"/>
    </xf>
    <xf numFmtId="0" fontId="0" fillId="0" borderId="4" pivotButton="0" quotePrefix="0" xfId="0"/>
    <xf numFmtId="0" fontId="13" fillId="4" borderId="0" applyAlignment="1" pivotButton="0" quotePrefix="0" xfId="0">
      <alignment vertical="center" wrapText="1" indent="1"/>
    </xf>
    <xf numFmtId="0" fontId="7" fillId="0" borderId="0" applyAlignment="1" pivotButton="0" quotePrefix="0" xfId="0">
      <alignment wrapText="1" indent="1"/>
    </xf>
    <xf numFmtId="0" fontId="11" fillId="0" borderId="5" pivotButton="0" quotePrefix="0" xfId="0"/>
    <xf numFmtId="0" fontId="0" fillId="0" borderId="5" pivotButton="0" quotePrefix="0" xfId="0"/>
    <xf numFmtId="0" fontId="11" fillId="0" borderId="5" applyAlignment="1" pivotButton="0" quotePrefix="0" xfId="0">
      <alignment horizontal="right"/>
    </xf>
    <xf numFmtId="0" fontId="13" fillId="0" borderId="0" pivotButton="0" quotePrefix="0" xfId="0"/>
    <xf numFmtId="0" fontId="6" fillId="0" borderId="3" applyAlignment="1" pivotButton="0" quotePrefix="0" xfId="0">
      <alignment horizontal="center" vertical="center"/>
    </xf>
    <xf numFmtId="0" fontId="11" fillId="0" borderId="0" applyAlignment="1" pivotButton="0" quotePrefix="0" xfId="0">
      <alignment horizontal="right" vertical="center"/>
    </xf>
    <xf numFmtId="0" fontId="13" fillId="0" borderId="7" pivotButton="0" quotePrefix="0" xfId="0"/>
    <xf numFmtId="0" fontId="0" fillId="0" borderId="7" pivotButton="0" quotePrefix="0" xfId="0"/>
    <xf numFmtId="0" fontId="20" fillId="2" borderId="0" applyAlignment="1" pivotButton="0" quotePrefix="0" xfId="0">
      <alignment vertical="bottom" indent="1"/>
    </xf>
    <xf numFmtId="168" fontId="21" fillId="2" borderId="0" applyAlignment="1" pivotButton="0" quotePrefix="0" xfId="0">
      <alignment horizontal="left" vertical="center" indent="1"/>
    </xf>
    <xf numFmtId="174" fontId="21" fillId="2" borderId="0" applyAlignment="1" pivotButton="0" quotePrefix="0" xfId="0">
      <alignment horizontal="left" vertical="center" indent="1"/>
    </xf>
    <xf numFmtId="0" fontId="22" fillId="2" borderId="0" applyAlignment="1" pivotButton="0" quotePrefix="0" xfId="0">
      <alignment vertical="top" indent="1"/>
    </xf>
    <xf numFmtId="168" fontId="20" fillId="2" borderId="0" applyAlignment="1" pivotButton="0" quotePrefix="0" xfId="0">
      <alignment horizontal="right" vertical="top"/>
    </xf>
    <xf numFmtId="165" fontId="20" fillId="2" borderId="0" applyAlignment="1" pivotButton="0" quotePrefix="0" xfId="0">
      <alignment horizontal="right" vertical="top"/>
    </xf>
    <xf numFmtId="0" fontId="8" fillId="4" borderId="0" applyAlignment="1" pivotButton="0" quotePrefix="0" xfId="0">
      <alignment vertical="bottom" indent="1"/>
    </xf>
    <xf numFmtId="168" fontId="23" fillId="4" borderId="0" applyAlignment="1" pivotButton="0" quotePrefix="0" xfId="0">
      <alignment horizontal="left" vertical="center" indent="1"/>
    </xf>
    <xf numFmtId="174" fontId="23" fillId="4" borderId="0" applyAlignment="1" pivotButton="0" quotePrefix="0" xfId="0">
      <alignment horizontal="left" vertical="center" indent="1"/>
    </xf>
    <xf numFmtId="0" fontId="24" fillId="4" borderId="0" applyAlignment="1" pivotButton="0" quotePrefix="0" xfId="0">
      <alignment vertical="top" indent="1"/>
    </xf>
    <xf numFmtId="168" fontId="8" fillId="4" borderId="0" applyAlignment="1" pivotButton="0" quotePrefix="0" xfId="0">
      <alignment horizontal="right" vertical="top"/>
    </xf>
    <xf numFmtId="165" fontId="8" fillId="4" borderId="0" applyAlignment="1" pivotButton="0" quotePrefix="0" xfId="0">
      <alignment horizontal="right" vertical="top"/>
    </xf>
    <xf numFmtId="171" fontId="23" fillId="4" borderId="0" applyAlignment="1" pivotButton="0" quotePrefix="0" xfId="0">
      <alignment horizontal="left" vertical="center" indent="1"/>
    </xf>
    <xf numFmtId="165" fontId="23" fillId="4" borderId="0" applyAlignment="1" pivotButton="0" quotePrefix="0" xfId="0">
      <alignment horizontal="left" vertical="center" indent="1"/>
    </xf>
    <xf numFmtId="166" fontId="8" fillId="4" borderId="0" applyAlignment="1" pivotButton="0" quotePrefix="0" xfId="0">
      <alignment horizontal="right" vertical="top"/>
    </xf>
    <xf numFmtId="49" fontId="8" fillId="4" borderId="0" applyAlignment="1" pivotButton="0" quotePrefix="0" xfId="0">
      <alignment horizontal="right" vertical="top"/>
    </xf>
    <xf numFmtId="0" fontId="25" fillId="0" borderId="0" pivotButton="0" quotePrefix="0" xfId="0"/>
    <xf numFmtId="0" fontId="10" fillId="0" borderId="4" pivotButton="0" quotePrefix="0" xfId="0"/>
    <xf numFmtId="165" fontId="13" fillId="0" borderId="4" applyAlignment="1" pivotButton="0" quotePrefix="0" xfId="0">
      <alignment horizontal="left"/>
    </xf>
    <xf numFmtId="168" fontId="10" fillId="0" borderId="4" applyAlignment="1" pivotButton="0" quotePrefix="0" xfId="0">
      <alignment horizontal="right"/>
    </xf>
    <xf numFmtId="0" fontId="14" fillId="2" borderId="0" applyAlignment="1" pivotButton="0" quotePrefix="0" xfId="0">
      <alignment horizontal="left" vertical="center" wrapText="1" indent="1"/>
    </xf>
    <xf numFmtId="0" fontId="14" fillId="2" borderId="0" applyAlignment="1" pivotButton="0" quotePrefix="0" xfId="0">
      <alignment horizontal="center" vertical="center" wrapText="1"/>
    </xf>
    <xf numFmtId="168" fontId="13" fillId="5" borderId="6" pivotButton="0" quotePrefix="0" xfId="0"/>
    <xf numFmtId="165" fontId="13" fillId="5" borderId="6" pivotButton="0" quotePrefix="0" xfId="0"/>
    <xf numFmtId="0" fontId="10" fillId="0" borderId="0" applyAlignment="1" pivotButton="0" quotePrefix="0" xfId="0">
      <alignment indent="2"/>
    </xf>
    <xf numFmtId="169" fontId="10" fillId="0" borderId="1" pivotButton="0" quotePrefix="0" xfId="0"/>
    <xf numFmtId="168" fontId="4" fillId="4" borderId="1" pivotButton="0" quotePrefix="0" xfId="0"/>
    <xf numFmtId="165" fontId="4" fillId="4" borderId="1" pivotButton="0" quotePrefix="0" xfId="0"/>
    <xf numFmtId="168" fontId="15" fillId="2" borderId="0" pivotButton="0" quotePrefix="0" xfId="0"/>
    <xf numFmtId="165" fontId="15" fillId="2" borderId="0" pivotButton="0" quotePrefix="0" xfId="0"/>
    <xf numFmtId="168" fontId="4" fillId="4" borderId="0" applyAlignment="1" pivotButton="0" quotePrefix="0" xfId="0">
      <alignment indent="1"/>
    </xf>
    <xf numFmtId="168" fontId="4" fillId="4" borderId="0" pivotButton="0" quotePrefix="0" xfId="0"/>
    <xf numFmtId="168" fontId="13" fillId="4" borderId="4" applyAlignment="1" pivotButton="0" quotePrefix="0" xfId="0">
      <alignment indent="1"/>
    </xf>
    <xf numFmtId="168" fontId="13" fillId="4" borderId="4" pivotButton="0" quotePrefix="0" xfId="0"/>
    <xf numFmtId="0" fontId="11" fillId="0" borderId="0" pivotButton="0" quotePrefix="0" xfId="0"/>
    <xf numFmtId="4" fontId="7" fillId="0" borderId="1" pivotButton="0" quotePrefix="0" xfId="0"/>
    <xf numFmtId="0" fontId="4" fillId="0" borderId="1" applyAlignment="1" pivotButton="0" quotePrefix="0" xfId="0">
      <alignment horizontal="center"/>
    </xf>
    <xf numFmtId="170" fontId="10" fillId="0" borderId="1" pivotButton="0" quotePrefix="0" xfId="0"/>
    <xf numFmtId="170" fontId="4" fillId="4" borderId="0" pivotButton="0" quotePrefix="0" xfId="0"/>
    <xf numFmtId="168" fontId="13" fillId="5" borderId="5" pivotButton="0" quotePrefix="0" xfId="0"/>
    <xf numFmtId="168" fontId="13" fillId="5" borderId="0" pivotButton="0" quotePrefix="0" xfId="0"/>
    <xf numFmtId="168" fontId="1" fillId="2" borderId="0" pivotButton="0" quotePrefix="0" xfId="0"/>
    <xf numFmtId="171" fontId="4" fillId="4" borderId="0" applyAlignment="1" pivotButton="0" quotePrefix="0" xfId="0">
      <alignment indent="1"/>
    </xf>
    <xf numFmtId="171" fontId="4" fillId="4" borderId="0" pivotButton="0" quotePrefix="0" xfId="0"/>
    <xf numFmtId="165" fontId="4" fillId="4" borderId="4" applyAlignment="1" pivotButton="0" quotePrefix="0" xfId="0">
      <alignment indent="1"/>
    </xf>
    <xf numFmtId="165" fontId="4" fillId="4" borderId="4" pivotButton="0" quotePrefix="0" xfId="0"/>
    <xf numFmtId="0" fontId="16" fillId="0" borderId="0" pivotButton="0" quotePrefix="0" xfId="0"/>
    <xf numFmtId="0" fontId="10" fillId="0" borderId="1" pivotButton="0" quotePrefix="0" xfId="0"/>
    <xf numFmtId="1" fontId="10" fillId="0" borderId="1" pivotButton="0" quotePrefix="0" xfId="0"/>
    <xf numFmtId="1" fontId="4" fillId="4" borderId="1" pivotButton="0" quotePrefix="0" xfId="0"/>
    <xf numFmtId="1" fontId="15" fillId="2" borderId="0" pivotButton="0" quotePrefix="0" xfId="0"/>
    <xf numFmtId="0" fontId="14" fillId="2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/>
    </xf>
    <xf numFmtId="169" fontId="10" fillId="4" borderId="1" pivotButton="0" quotePrefix="0" xfId="0"/>
    <xf numFmtId="167" fontId="10" fillId="0" borderId="1" applyAlignment="1" pivotButton="0" quotePrefix="0" xfId="0">
      <alignment horizontal="center"/>
    </xf>
    <xf numFmtId="1" fontId="4" fillId="4" borderId="1" applyAlignment="1" pivotButton="0" quotePrefix="0" xfId="0">
      <alignment horizontal="center"/>
    </xf>
    <xf numFmtId="49" fontId="10" fillId="4" borderId="1" pivotButton="0" quotePrefix="0" xfId="0"/>
    <xf numFmtId="49" fontId="4" fillId="4" borderId="1" applyAlignment="1" pivotButton="0" quotePrefix="0" xfId="0">
      <alignment horizontal="center"/>
    </xf>
    <xf numFmtId="168" fontId="6" fillId="4" borderId="4" applyAlignment="1" pivotButton="0" quotePrefix="0" xfId="0">
      <alignment horizontal="right"/>
    </xf>
    <xf numFmtId="0" fontId="7" fillId="0" borderId="0" applyAlignment="1" pivotButton="0" quotePrefix="0" xfId="0">
      <alignment vertical="top" wrapText="1"/>
    </xf>
    <xf numFmtId="165" fontId="6" fillId="4" borderId="4" applyAlignment="1" pivotButton="0" quotePrefix="0" xfId="0">
      <alignment horizontal="right"/>
    </xf>
    <xf numFmtId="0" fontId="19" fillId="2" borderId="0" applyAlignment="1" pivotButton="0" quotePrefix="0" xfId="0">
      <alignment horizontal="center" vertical="center"/>
    </xf>
    <xf numFmtId="0" fontId="6" fillId="0" borderId="4" applyAlignment="1" pivotButton="0" quotePrefix="0" xfId="0">
      <alignment vertical="center" wrapText="1" indent="1"/>
    </xf>
    <xf numFmtId="0" fontId="16" fillId="0" borderId="0" applyAlignment="1" pivotButton="0" quotePrefix="0" xfId="0">
      <alignment horizontal="left"/>
    </xf>
    <xf numFmtId="0" fontId="5" fillId="0" borderId="4" applyAlignment="1" pivotButton="0" quotePrefix="0" xfId="0">
      <alignment horizontal="center"/>
    </xf>
    <xf numFmtId="165" fontId="13" fillId="4" borderId="4" pivotButton="0" quotePrefix="0" xfId="0"/>
    <xf numFmtId="0" fontId="13" fillId="4" borderId="4" applyAlignment="1" pivotButton="0" quotePrefix="0" xfId="0">
      <alignment horizontal="center"/>
    </xf>
    <xf numFmtId="169" fontId="13" fillId="0" borderId="3" pivotButton="0" quotePrefix="0" xfId="0"/>
    <xf numFmtId="171" fontId="13" fillId="4" borderId="4" pivotButton="0" quotePrefix="0" xfId="0"/>
    <xf numFmtId="166" fontId="4" fillId="4" borderId="4" pivotButton="0" quotePrefix="0" xfId="0"/>
    <xf numFmtId="165" fontId="10" fillId="0" borderId="1" pivotButton="0" quotePrefix="0" xfId="0"/>
    <xf numFmtId="168" fontId="4" fillId="4" borderId="4" pivotButton="0" quotePrefix="0" xfId="0"/>
    <xf numFmtId="173" fontId="11" fillId="0" borderId="0" pivotButton="0" quotePrefix="0" xfId="0"/>
    <xf numFmtId="168" fontId="13" fillId="0" borderId="4" pivotButton="0" quotePrefix="0" xfId="0"/>
    <xf numFmtId="168" fontId="10" fillId="0" borderId="4" pivotButton="0" quotePrefix="0" xfId="0"/>
    <xf numFmtId="165" fontId="10" fillId="0" borderId="4" pivotButton="0" quotePrefix="0" xfId="0"/>
    <xf numFmtId="0" fontId="18" fillId="0" borderId="0" pivotButton="0" quotePrefix="0" xfId="0"/>
    <xf numFmtId="168" fontId="13" fillId="6" borderId="4" pivotButton="0" quotePrefix="0" xfId="0"/>
    <xf numFmtId="168" fontId="10" fillId="6" borderId="4" pivotButton="0" quotePrefix="0" xfId="0"/>
    <xf numFmtId="165" fontId="10" fillId="6" borderId="4" pivotButton="0" quotePrefix="0" xfId="0"/>
    <xf numFmtId="165" fontId="13" fillId="5" borderId="0" pivotButton="0" quotePrefix="0" xfId="0"/>
  </cellXfs>
  <cellStyles count="1">
    <cellStyle name="Normal" xfId="0" builtinId="0" hidden="0"/>
  </cellStyles>
  <dxfs count="3">
    <dxf>
      <font>
        <b val="1"/>
        <color rgb="00FF6B6F"/>
      </font>
    </dxf>
    <dxf>
      <font>
        <b val="1"/>
        <color rgb="00000000"/>
      </font>
    </dxf>
    <dxf>
      <font>
        <b val="1"/>
        <color rgb="00FF6B6F"/>
      </font>
      <fill>
        <patternFill patternType="solid">
          <fgColor rgb="00FFFFFF"/>
          <bgColor rgb="00FFFF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000000"/>
                </a:solidFill>
                <a:latin typeface="Arial"/>
              </a:defRPr>
            </a:pPr>
            <a:r>
              <a:rPr sz="1100" b="1">
                <a:solidFill>
                  <a:srgbClr val="000000"/>
                </a:solidFill>
                <a:latin typeface="Arial"/>
              </a:rPr>
              <a:t>Доходы и расходы по месяцам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'Год'!C7</f>
            </strRef>
          </tx>
          <spPr>
            <a:solidFill xmlns:a="http://schemas.openxmlformats.org/drawingml/2006/main">
              <a:srgbClr val="000000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'Год'!$N$8:$N$19</f>
            </numRef>
          </cat>
          <val>
            <numRef>
              <f>'Год'!$C$8:$C$19</f>
            </numRef>
          </val>
        </ser>
        <ser>
          <idx val="1"/>
          <order val="1"/>
          <tx>
            <strRef>
              <f>'Год'!E7</f>
            </strRef>
          </tx>
          <spPr>
            <a:solidFill xmlns:a="http://schemas.openxmlformats.org/drawingml/2006/main">
              <a:srgbClr val="B5B5B5"/>
            </a:solidFill>
            <a:ln xmlns:a="http://schemas.openxmlformats.org/drawingml/2006/main">
              <a:solidFill>
                <a:srgbClr val="B5B5B5"/>
              </a:solidFill>
              <a:prstDash val="solid"/>
            </a:ln>
          </spPr>
          <cat>
            <numRef>
              <f>'Год'!$N$8:$N$19</f>
            </numRef>
          </cat>
          <val>
            <numRef>
              <f>'Год'!$E$8:$E$19</f>
            </numRef>
          </val>
        </ser>
        <gapWidth val="60"/>
        <overlap val="-1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555555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555555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6E6E6"/>
              </a:solidFill>
              <a:prstDash val="solid"/>
            </a:ln>
          </spPr>
        </majorGridlines>
        <numFmt formatCode="0.0,,&quot; млн&quot;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555555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555555"/>
              </a:solidFill>
              <a:latin typeface="Arial"/>
            </a:endParaRPr>
          </a:p>
        </txPr>
        <crossAx val="10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800">
              <a:latin typeface="Arial"/>
            </a:defRPr>
          </a:pPr>
          <a:r>
            <a:t/>
          </a:r>
          <a:endParaRPr sz="800"/>
        </a:p>
      </txPr>
    </legend>
    <plotVisOnly val="0"/>
    <dispBlanksAs val="gap"/>
  </chart>
  <spPr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000000"/>
                </a:solidFill>
                <a:latin typeface="Arial"/>
              </a:defRPr>
            </a:pPr>
            <a:r>
              <a:rPr sz="1100" b="1">
                <a:solidFill>
                  <a:srgbClr val="000000"/>
                </a:solidFill>
                <a:latin typeface="Arial"/>
              </a:rPr>
              <a:t>Структура расходов за год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'Год'!D25</f>
            </strRef>
          </tx>
          <spPr>
            <a:solidFill xmlns:a="http://schemas.openxmlformats.org/drawingml/2006/main">
              <a:srgbClr val="4D4D4D"/>
            </a:solidFill>
            <a:ln xmlns:a="http://schemas.openxmlformats.org/drawingml/2006/main">
              <a:solidFill>
                <a:srgbClr val="4D4D4D"/>
              </a:solidFill>
              <a:prstDash val="solid"/>
            </a:ln>
          </spPr>
          <cat>
            <numRef>
              <f>'Год'!$B$26:$B$36</f>
            </numRef>
          </cat>
          <val>
            <numRef>
              <f>'Год'!$D$26:$D$36</f>
            </numRef>
          </val>
        </ser>
        <gapWidth val="4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555555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555555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6E6E6"/>
              </a:solidFill>
              <a:prstDash val="solid"/>
            </a:ln>
          </spPr>
        </majorGridlines>
        <numFmt formatCode="0.0,,&quot; млн&quot;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555555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555555"/>
              </a:solidFill>
              <a:latin typeface="Arial"/>
            </a:endParaRPr>
          </a:p>
        </txPr>
        <crossAx val="10"/>
        <crosses val="max"/>
      </valAx>
    </plotArea>
    <plotVisOnly val="0"/>
    <dispBlanksAs val="gap"/>
  </chart>
  <spPr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000000"/>
                </a:solidFill>
                <a:latin typeface="Arial"/>
              </a:defRPr>
            </a:pPr>
            <a:r>
              <a:rPr sz="1100" b="1">
                <a:solidFill>
                  <a:srgbClr val="000000"/>
                </a:solidFill>
                <a:latin typeface="Arial"/>
              </a:rPr>
              <a:t>Динамика чистого капитала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'Год'!J7</f>
            </strRef>
          </tx>
          <spPr>
            <a:ln xmlns:a="http://schemas.openxmlformats.org/drawingml/2006/main" w="32000">
              <a:solidFill>
                <a:srgbClr val="000000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'Год'!$N$8:$N$19</f>
            </numRef>
          </cat>
          <val>
            <numRef>
              <f>'Год'!$J$8:$J$19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555555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555555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6E6E6"/>
              </a:solidFill>
              <a:prstDash val="solid"/>
            </a:ln>
          </spPr>
        </majorGridlines>
        <numFmt formatCode="0,,&quot; млн&quot;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555555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555555"/>
              </a:solidFill>
              <a:latin typeface="Arial"/>
            </a:endParaRPr>
          </a:p>
        </txPr>
        <crossAx val="10"/>
      </valAx>
    </plotArea>
    <plotVisOnly val="0"/>
    <dispBlanksAs val="gap"/>
  </chart>
  <spPr>
    <a:ln xmlns:a="http://schemas.openxmlformats.org/drawingml/2006/main">
      <a:noFill/>
      <a:prstDash val="solid"/>
    </a:ln>
  </spPr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000000"/>
                </a:solidFill>
                <a:latin typeface="Arial"/>
              </a:defRPr>
            </a:pPr>
            <a:r>
              <a:rPr sz="1100" b="1">
                <a:solidFill>
                  <a:srgbClr val="000000"/>
                </a:solidFill>
                <a:latin typeface="Arial"/>
              </a:rPr>
              <a:t>Сбережения по месяцам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'Год'!H7</f>
            </strRef>
          </tx>
          <spPr>
            <a:solidFill xmlns:a="http://schemas.openxmlformats.org/drawingml/2006/main">
              <a:srgbClr val="7F7F7F"/>
            </a:solidFill>
            <a:ln xmlns:a="http://schemas.openxmlformats.org/drawingml/2006/main">
              <a:solidFill>
                <a:srgbClr val="7F7F7F"/>
              </a:solidFill>
              <a:prstDash val="solid"/>
            </a:ln>
          </spPr>
          <cat>
            <numRef>
              <f>'Год'!$N$8:$N$19</f>
            </numRef>
          </cat>
          <val>
            <numRef>
              <f>'Год'!$H$8:$H$19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555555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555555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6E6E6"/>
              </a:solidFill>
              <a:prstDash val="solid"/>
            </a:ln>
          </spPr>
        </majorGridlines>
        <numFmt formatCode="0.0,,&quot; млн&quot;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555555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555555"/>
              </a:solidFill>
              <a:latin typeface="Arial"/>
            </a:endParaRPr>
          </a:p>
        </txPr>
        <crossAx val="10"/>
      </valAx>
    </plotArea>
    <plotVisOnly val="0"/>
    <dispBlanksAs val="gap"/>
  </chart>
  <spPr>
    <a:ln xmlns:a="http://schemas.openxmlformats.org/drawingml/2006/main">
      <a:noFill/>
      <a:prstDash val="solid"/>
    </a:ln>
  </spPr>
</chartSpace>
</file>

<file path=xl/comments/comment1.xml><?xml version="1.0" encoding="utf-8"?>
<comments xmlns="http://schemas.openxmlformats.org/spreadsheetml/2006/main">
  <authors>
    <author>Business Surgery</author>
  </authors>
  <commentList>
    <comment ref="B8" authorId="0" shapeId="0">
      <text>
        <t>По умолчанию берётся курс со Старта. Можно вписать курс на конец конкретного месяца поверх формулы.</t>
      </text>
    </comment>
  </commentList>
</comments>
</file>

<file path=xl/comments/comment2.xml><?xml version="1.0" encoding="utf-8"?>
<comments xmlns="http://schemas.openxmlformats.org/spreadsheetml/2006/main">
  <authors>
    <author>Business Surgery</author>
  </authors>
  <commentList>
    <comment ref="E8" authorId="0" shapeId="0">
      <text>
        <t>Считается сама: подушка в месяцах со Старта x средний расход в месяц. Можно вписать свою сумму.</t>
      </text>
    </comment>
    <comment ref="G8" authorId="0" shapeId="0">
      <text>
        <t>Считается само: деньги на листе Капитал за последний месяц с данными. Можно вписать свою сумму.</t>
      </text>
    </comment>
  </commentList>
</comments>
</file>

<file path=xl/comments/comment3.xml><?xml version="1.0" encoding="utf-8"?>
<comments xmlns="http://schemas.openxmlformats.org/spreadsheetml/2006/main">
  <authors>
    <author>Business Surgery</author>
  </authors>
  <commentList>
    <comment ref="E23" authorId="0" shapeId="0">
      <text>
        <t>Ориентир: если больше 80% личного дохода приходит из одного бизнеса, стоит наращивать другие источники.</t>
      </text>
    </comment>
  </commentList>
</comments>
</file>

<file path=xl/comments/comment4.xml><?xml version="1.0" encoding="utf-8"?>
<comments xmlns="http://schemas.openxmlformats.org/spreadsheetml/2006/main">
  <authors>
    <author>Business Surgery</author>
  </authors>
  <commentList>
    <comment ref="J20" authorId="0" shapeId="0">
      <text>
        <t>Капитал и подушка в итоговой строке: на последний месяц с данными.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29</row>
      <rowOff>0</rowOff>
    </from>
    <ext cx="4392000" cy="26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29</row>
      <rowOff>0</rowOff>
    </from>
    <ext cx="4392000" cy="266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44</row>
      <rowOff>0</rowOff>
    </from>
    <ext cx="4392000" cy="2664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44</row>
      <rowOff>0</rowOff>
    </from>
    <ext cx="4392000" cy="2664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tabColor rgb="00000000"/>
    <outlinePr summaryBelow="1" summaryRight="1"/>
    <pageSetUpPr fitToPage="1"/>
  </sheetPr>
  <dimension ref="A1:L35"/>
  <sheetViews>
    <sheetView showGridLines="0" tabSelected="1" zoomScale="90" workbookViewId="0">
      <selection activeCell="A1" sqref="A1"/>
    </sheetView>
  </sheetViews>
  <sheetFormatPr baseColWidth="8" defaultRowHeight="15"/>
  <cols>
    <col width="2.5" customWidth="1" min="1" max="1"/>
    <col width="6" customWidth="1" min="2" max="2"/>
    <col width="34" customWidth="1" min="3" max="3"/>
    <col width="22" customWidth="1" min="4" max="4"/>
    <col width="4" customWidth="1" min="5" max="5"/>
    <col width="6" customWidth="1" min="6" max="6"/>
    <col width="22" customWidth="1" min="7" max="7"/>
    <col width="22" customWidth="1" min="8" max="8"/>
    <col width="22" customWidth="1" min="9" max="9"/>
    <col width="4" customWidth="1" min="10" max="10"/>
    <col width="14" customWidth="1" min="11" max="11"/>
    <col width="14" customWidth="1" min="12" max="12"/>
  </cols>
  <sheetData>
    <row r="1" ht="30" customHeight="1">
      <c r="A1" s="1" t="n"/>
      <c r="B1" s="2" t="inlineStr">
        <is>
          <t>BUSINESS SURGERY · Личный финансовый план</t>
        </is>
      </c>
      <c r="C1" s="1" t="n"/>
      <c r="D1" s="1" t="n"/>
      <c r="E1" s="1" t="n"/>
      <c r="F1" s="1" t="n"/>
      <c r="G1" s="1" t="n"/>
      <c r="H1" s="1" t="n"/>
      <c r="I1" s="3" t="str">
        <f>IF(Старт!$D$15="","",Старт!$D$15&amp;"  ·  ")&amp;Старт!$D$16&amp;" год"</f>
        <v>Ваше имя  ·  2026 год</v>
      </c>
      <c r="L1" s="4" t="n"/>
    </row>
    <row r="2" ht="10" customHeight="1"/>
    <row r="3" ht="32" customHeight="1">
      <c r="B3" s="5" t="inlineStr">
        <is>
          <t>Старт</t>
        </is>
      </c>
    </row>
    <row r="4">
      <c r="B4" s="6" t="inlineStr">
        <is>
          <t>Личный финансовый план предпринимателя: доходы, расходы, капитал и цели в одном файле</t>
        </is>
      </c>
    </row>
    <row r="5" ht="10" customHeight="1"/>
    <row r="7">
      <c r="B7" s="7" t="inlineStr">
        <is>
          <t>01</t>
        </is>
      </c>
      <c r="C7" s="8" t="inlineStr">
        <is>
          <t>НАСТРОЙКИ</t>
        </is>
      </c>
    </row>
    <row r="8">
      <c r="C8" s="9" t="inlineStr">
        <is>
          <t>Заполните белые ячейки. Остальное считается автоматически.</t>
        </is>
      </c>
    </row>
    <row r="9">
      <c r="C9" s="10" t="inlineStr">
        <is>
          <t>Как читать ячейки</t>
        </is>
      </c>
    </row>
    <row r="10" ht="16" customHeight="1">
      <c r="B10" s="11" t="n"/>
      <c r="C10" s="9" t="inlineStr">
        <is>
          <t>Белая ячейка с рамкой: ваши данные, вводите и меняйте</t>
        </is>
      </c>
    </row>
    <row r="11" ht="16" customHeight="1">
      <c r="B11" s="12" t="n"/>
      <c r="C11" s="9" t="inlineStr">
        <is>
          <t>Серая ячейка: формула, считается сама</t>
        </is>
      </c>
    </row>
    <row r="12" ht="16" customHeight="1">
      <c r="B12" s="13" t="n"/>
      <c r="C12" s="9" t="inlineStr">
        <is>
          <t>Чёрная строка: итог, считается сам</t>
        </is>
      </c>
    </row>
    <row r="13" ht="16" customHeight="1">
      <c r="B13" s="14" t="inlineStr">
        <is>
          <t>-1</t>
        </is>
      </c>
      <c r="C13" s="9" t="inlineStr">
        <is>
          <t>Красный цвет: минус, превышение бюджета или риск</t>
        </is>
      </c>
    </row>
    <row r="14" ht="14" customHeight="1"/>
    <row r="15" ht="22" customHeight="1">
      <c r="B15" s="15" t="n"/>
      <c r="C15" s="16" t="inlineStr">
        <is>
          <t>Имя владельца плана</t>
        </is>
      </c>
      <c r="D15" s="17" t="inlineStr">
        <is>
          <t>Ваше имя</t>
        </is>
      </c>
      <c r="G15" s="18" t="inlineStr">
        <is>
          <t>Появится в шапке каждого листа</t>
        </is>
      </c>
    </row>
    <row r="16" ht="22" customHeight="1">
      <c r="B16" s="15" t="n"/>
      <c r="C16" s="16" t="inlineStr">
        <is>
          <t>Год плана</t>
        </is>
      </c>
      <c r="D16" s="19" t="n">
        <v>2026</v>
      </c>
      <c r="G16" s="18" t="inlineStr">
        <is>
          <t>Год, за который ведётся план</t>
        </is>
      </c>
    </row>
    <row r="17" ht="22" customHeight="1">
      <c r="B17" s="15" t="n"/>
      <c r="C17" s="16" t="inlineStr">
        <is>
          <t>Курс USD, ₸ за 1 $</t>
        </is>
      </c>
      <c r="D17" s="20" t="n">
        <v>505</v>
      </c>
      <c r="G17" s="18" t="inlineStr">
        <is>
          <t>Для пересчёта валютных активов</t>
        </is>
      </c>
    </row>
    <row r="18" ht="22" customHeight="1">
      <c r="B18" s="15" t="n"/>
      <c r="C18" s="16" t="inlineStr">
        <is>
          <t>Цель: норма сбережений</t>
        </is>
      </c>
      <c r="D18" s="21" t="n">
        <v>0.25</v>
      </c>
      <c r="G18" s="18" t="inlineStr">
        <is>
          <t>Доля дохода, которую вы откладываете</t>
        </is>
      </c>
    </row>
    <row r="19" ht="22" customHeight="1">
      <c r="B19" s="15" t="n"/>
      <c r="C19" s="16" t="inlineStr">
        <is>
          <t>Цель: подушка безопасности, мес.</t>
        </is>
      </c>
      <c r="D19" s="22" t="n">
        <v>6</v>
      </c>
      <c r="G19" s="18" t="inlineStr">
        <is>
          <t>Сколько месяцев расходов держать в деньгах</t>
        </is>
      </c>
    </row>
    <row r="20" ht="22" customHeight="1">
      <c r="B20" s="15" t="n"/>
      <c r="C20" s="16" t="inlineStr">
        <is>
          <t>Лимит кредитной нагрузки</t>
        </is>
      </c>
      <c r="D20" s="21" t="n">
        <v>0.3</v>
      </c>
      <c r="G20" s="18" t="inlineStr">
        <is>
          <t>Платежи по кредитам к доходу, не больше</t>
        </is>
      </c>
    </row>
    <row r="21" ht="22" customHeight="1">
      <c r="B21" s="15" t="n"/>
      <c r="C21" s="16" t="inlineStr">
        <is>
          <t>Дата расчёта</t>
        </is>
      </c>
      <c r="D21" s="23">
        <f>TODAY()</f>
        <v>46298.0</v>
      </c>
      <c r="G21" s="18" t="inlineStr">
        <is>
          <t>По умолчанию сегодня, можно ввести свою</t>
        </is>
      </c>
    </row>
    <row r="22" ht="22" customHeight="1">
      <c r="B22" s="15" t="n"/>
      <c r="C22" s="16" t="inlineStr">
        <is>
          <t>Месяцев с данными (авто)</t>
        </is>
      </c>
      <c r="D22" s="24">
        <f>MAX(1,COUNTIF(Расходы!$D$55:$O$55,"&gt;0"))</f>
        <v>12</v>
      </c>
      <c r="G22" s="18" t="inlineStr">
        <is>
          <t>Считается по листу Расходы</t>
        </is>
      </c>
    </row>
    <row r="24">
      <c r="B24" s="7" t="inlineStr">
        <is>
          <t>02</t>
        </is>
      </c>
      <c r="C24" s="8" t="inlineStr">
        <is>
          <t>КАК ПОЛЬЗОВАТЬСЯ: 5 ШАГОВ</t>
        </is>
      </c>
    </row>
    <row r="25" ht="36" customHeight="1">
      <c r="B25" s="25" t="inlineStr">
        <is>
          <t>01</t>
        </is>
      </c>
      <c r="C25" s="26" t="inlineStr">
        <is>
          <t>Настройте план</t>
        </is>
      </c>
      <c r="D25" s="27" t="inlineStr">
        <is>
          <t>Впишите имя, год и курс доллара в блоке выше. Цели по сбережениям и подушке можно оставить по умолчанию.</t>
        </is>
      </c>
      <c r="E25" s="28" t="n"/>
      <c r="F25" s="28" t="n"/>
      <c r="G25" s="28" t="n"/>
      <c r="H25" s="28" t="n"/>
      <c r="I25" s="28" t="n"/>
    </row>
    <row r="26" ht="36" customHeight="1">
      <c r="B26" s="25" t="inlineStr">
        <is>
          <t>02</t>
        </is>
      </c>
      <c r="C26" s="26" t="inlineStr">
        <is>
          <t>Внесите доходы</t>
        </is>
      </c>
      <c r="D26" s="27" t="inlineStr">
        <is>
          <t>Лист Доходы: в колонке «План в мес» ваш ориентир, в месяцах фактические поступления по каждому источнику.</t>
        </is>
      </c>
      <c r="E26" s="28" t="n"/>
      <c r="F26" s="28" t="n"/>
      <c r="G26" s="28" t="n"/>
      <c r="H26" s="28" t="n"/>
      <c r="I26" s="28" t="n"/>
    </row>
    <row r="27" ht="36" customHeight="1">
      <c r="B27" s="25" t="inlineStr">
        <is>
          <t>03</t>
        </is>
      </c>
      <c r="C27" s="26" t="inlineStr">
        <is>
          <t>Ведите расходы</t>
        </is>
      </c>
      <c r="D27" s="27" t="inlineStr">
        <is>
          <t>Лист Расходы: задайте бюджет на месяц по каждой статье и раз в неделю вносите факт. Превышение подсветится красным.</t>
        </is>
      </c>
      <c r="E27" s="28" t="n"/>
      <c r="F27" s="28" t="n"/>
      <c r="G27" s="28" t="n"/>
      <c r="H27" s="28" t="n"/>
      <c r="I27" s="28" t="n"/>
    </row>
    <row r="28" ht="36" customHeight="1">
      <c r="B28" s="25" t="inlineStr">
        <is>
          <t>04</t>
        </is>
      </c>
      <c r="C28" s="26" t="inlineStr">
        <is>
          <t>Обновляйте капитал</t>
        </is>
      </c>
      <c r="D28" s="27" t="inlineStr">
        <is>
          <t>Лист Капитал: раз в месяц перепишите остатки на счетах, депозиты, акции в $, оценку бизнеса, имущество и долги.</t>
        </is>
      </c>
      <c r="E28" s="28" t="n"/>
      <c r="F28" s="28" t="n"/>
      <c r="G28" s="28" t="n"/>
      <c r="H28" s="28" t="n"/>
      <c r="I28" s="28" t="n"/>
    </row>
    <row r="29" ht="36" customHeight="1">
      <c r="B29" s="25" t="inlineStr">
        <is>
          <t>05</t>
        </is>
      </c>
      <c r="C29" s="26" t="inlineStr">
        <is>
          <t>Смотрите Дашборд</t>
        </is>
      </c>
      <c r="D29" s="27" t="inlineStr">
        <is>
          <t>Выберите месяц отчёта на Дашборде, проверьте цели на листе Цели и сверьтесь с Правилами. Итоги года на листе Год.</t>
        </is>
      </c>
      <c r="E29" s="28" t="n"/>
      <c r="F29" s="28" t="n"/>
      <c r="G29" s="28" t="n"/>
      <c r="H29" s="28" t="n"/>
      <c r="I29" s="28" t="n"/>
    </row>
    <row r="31" ht="48" customHeight="1">
      <c r="B31" s="29" t="inlineStr">
        <is>
          <t>Все цифры в файле являются примером, чтобы графики и показатели выглядели живыми. Замените примеры своими цифрами: перепишите значения в белых ячейках листов Доходы, Расходы, Капитал и Цели или выделите их и нажмите Delete. Формулы в серых и чёрных ячейках не трогайте.</t>
        </is>
      </c>
    </row>
    <row r="33">
      <c r="B33" s="30" t="inlineStr">
        <is>
          <t>Совет: заведите привычку 15 минут в неделю. Факт расходов из банковских выписок, раз в месяц капитал, раз в квартал цели.</t>
        </is>
      </c>
    </row>
    <row r="35">
      <c r="B35" s="31" t="inlineStr">
        <is>
          <t>© Business Surgery · bxclub.kz</t>
        </is>
      </c>
      <c r="C35" s="32" t="n"/>
      <c r="D35" s="32" t="n"/>
      <c r="E35" s="32" t="n"/>
      <c r="F35" s="32" t="n"/>
      <c r="G35" s="32" t="n"/>
      <c r="H35" s="32" t="n"/>
      <c r="I35" s="33" t="inlineStr">
        <is>
          <t>Шаблон для резидентов клуба</t>
        </is>
      </c>
    </row>
  </sheetData>
  <mergeCells count="7">
    <mergeCell ref="D27:I27"/>
    <mergeCell ref="D28:I28"/>
    <mergeCell ref="D29:I29"/>
    <mergeCell ref="B31:I31"/>
    <mergeCell ref="B33:I33"/>
    <mergeCell ref="D26:I26"/>
    <mergeCell ref="D25:I25"/>
  </mergeCells>
  <dataValidations count="4">
    <dataValidation sqref="D16" showDropDown="0" showInputMessage="0" showErrorMessage="1" allowBlank="0" errorTitle="Год" error="Введите год, например 2026" type="whole" operator="between">
      <formula1>2020</formula1>
      <formula2>2100</formula2>
    </dataValidation>
    <dataValidation sqref="D17" showDropDown="0" showInputMessage="0" showErrorMessage="1" allowBlank="0" errorTitle="Курс" error="Курс должен быть больше нуля" type="decimal" operator="greaterThan">
      <formula1>0</formula1>
    </dataValidation>
    <dataValidation sqref="D18 D20" showDropDown="0" showInputMessage="0" showErrorMessage="1" allowBlank="0" errorTitle="Процент" error="Введите процент от 0% до 100%" type="decimal" operator="between">
      <formula1>0</formula1>
      <formula2>1</formula2>
    </dataValidation>
    <dataValidation sqref="D19" showDropDown="0" showInputMessage="0" showErrorMessage="1" allowBlank="0" errorTitle="Месяцы" error="Введите число месяцев от 1 до 36" type="whole" operator="between">
      <formula1>1</formula1>
      <formula2>36</formula2>
    </dataValidation>
  </dataValidations>
  <printOptions horizontalCentered="1"/>
  <pageMargins left="0.4" right="0.4" top="0.6" bottom="0.6" header="0.5" footer="0.5"/>
  <pageSetup orientation="landscape" paperSize="9" fitToHeight="1" fitToWidth="1"/>
  <headerFooter differentFirst="1">
    <oddHeader/>
    <oddFooter>&amp;L&amp;"Arial"&amp;8 © Business Surgery · bxclub.kz&amp;R&amp;"Arial"&amp;8 стр. &amp;P из &amp;N</oddFooter>
    <evenHeader/>
    <evenFooter/>
    <firstHeader/>
    <firstFooter>&amp;L&amp;"Arial"&amp;8 © Business Surgery · bxclub.kz&amp;R&amp;"Arial"&amp;8 стр. &amp;P из &amp;N</firstFooter>
  </headerFooter>
</worksheet>
</file>

<file path=xl/worksheets/sheet2.xml><?xml version="1.0" encoding="utf-8"?>
<worksheet xmlns="http://schemas.openxmlformats.org/spreadsheetml/2006/main">
  <sheetPr>
    <tabColor rgb="00000000"/>
    <outlinePr summaryBelow="1" summaryRight="1"/>
    <pageSetUpPr fitToPage="0"/>
  </sheetPr>
  <dimension ref="A1:M70"/>
  <sheetViews>
    <sheetView showGridLines="0" tabSelected="0" zoomScale="10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.5" customWidth="1" min="1" max="1"/>
    <col width="15.5" customWidth="1" min="2" max="2"/>
    <col width="15.5" customWidth="1" min="3" max="3"/>
    <col width="2" customWidth="1" min="4" max="4"/>
    <col width="15.5" customWidth="1" min="5" max="5"/>
    <col width="15.5" customWidth="1" min="6" max="6"/>
    <col width="2" customWidth="1" min="7" max="7"/>
    <col width="15.5" customWidth="1" min="8" max="8"/>
    <col width="15.5" customWidth="1" min="9" max="9"/>
    <col width="2" customWidth="1" min="10" max="10"/>
    <col width="15.5" customWidth="1" min="11" max="11"/>
    <col width="15.5" customWidth="1" min="12" max="12"/>
    <col width="2" customWidth="1" min="13" max="13"/>
  </cols>
  <sheetData>
    <row r="1" ht="30" customHeight="1">
      <c r="A1" s="1" t="n"/>
      <c r="B1" s="2" t="inlineStr">
        <is>
          <t>BUSINESS SURGERY · Личный финансовый план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3" t="str">
        <f>IF(Старт!$D$15="","",Старт!$D$15&amp;"  ·  ")&amp;Старт!$D$16&amp;" год"</f>
        <v>Ваше имя  ·  2026 год</v>
      </c>
      <c r="M1" s="3" t="n"/>
    </row>
    <row r="2" ht="10" customHeight="1"/>
    <row r="3" ht="32" customHeight="1">
      <c r="B3" s="5" t="inlineStr">
        <is>
          <t>Дашборд</t>
        </is>
      </c>
    </row>
    <row r="4">
      <c r="B4" s="6" t="inlineStr">
        <is>
          <t>Главные цифры месяца и года. Выберите месяц отчёта в белой ячейке</t>
        </is>
      </c>
    </row>
    <row r="5" ht="10" customHeight="1"/>
    <row r="6" ht="24" customHeight="1">
      <c r="B6" s="34" t="inlineStr">
        <is>
          <t>Месяц отчёта</t>
        </is>
      </c>
      <c r="E6" s="35" t="inlineStr">
        <is>
          <t>Декабрь</t>
        </is>
      </c>
      <c r="G6" s="36" t="str">
        <f>"Месяцев с данными: "&amp;Старт!$D$22</f>
        <v>Месяцев с данными: 12</v>
      </c>
    </row>
    <row r="8" ht="22" customHeight="1">
      <c r="B8" s="37" t="str">
        <f>"МЕСЯЦ: "&amp;UPPER(Дашборд!$E$6)</f>
        <v>МЕСЯЦ: ДЕКАБРЬ</v>
      </c>
      <c r="C8" s="38" t="n"/>
      <c r="D8" s="38" t="n"/>
      <c r="E8" s="38" t="n"/>
      <c r="F8" s="38" t="n"/>
      <c r="G8" s="38" t="n"/>
      <c r="H8" s="38" t="n"/>
      <c r="I8" s="38" t="n"/>
      <c r="J8" s="38" t="n"/>
      <c r="K8" s="38" t="n"/>
      <c r="L8" s="38" t="n"/>
    </row>
    <row r="9" ht="20" customHeight="1">
      <c r="B9" s="39" t="inlineStr">
        <is>
          <t>ДОХОД</t>
        </is>
      </c>
      <c r="E9" s="39" t="inlineStr">
        <is>
          <t>РАСХОД</t>
        </is>
      </c>
      <c r="H9" s="39" t="inlineStr">
        <is>
          <t>СБЕРЕЖЕНИЯ</t>
        </is>
      </c>
      <c r="K9" s="39" t="inlineStr">
        <is>
          <t>НОРМА СБЕРЕЖЕНИЙ</t>
        </is>
      </c>
    </row>
    <row r="10" ht="34" customHeight="1">
      <c r="B10" s="40">
        <f>INDEX(Год!$C$8:$C$19,Год!$D$5)</f>
        <v>4406000</v>
      </c>
      <c r="E10" s="40">
        <f>INDEX(Год!$E$8:$E$19,Год!$D$5)</f>
        <v>2473000</v>
      </c>
      <c r="H10" s="40">
        <f>INDEX(Год!$H$8:$H$19,Год!$D$5)</f>
        <v>1933000</v>
      </c>
      <c r="K10" s="41">
        <f>INDEX(Год!$I$8:$I$19,Год!$D$5)</f>
        <v>0.438719927371766</v>
      </c>
    </row>
    <row r="11" ht="20" customHeight="1">
      <c r="B11" s="42" t="inlineStr">
        <is>
          <t>план</t>
        </is>
      </c>
      <c r="C11" s="43">
        <f>Доходы!$C$25</f>
        <v>3260000</v>
      </c>
      <c r="E11" s="42" t="inlineStr">
        <is>
          <t>бюджет</t>
        </is>
      </c>
      <c r="F11" s="43">
        <f>Расходы!$C$55</f>
        <v>2246000</v>
      </c>
      <c r="H11" s="42" t="inlineStr">
        <is>
          <t>к пред. месяцу</t>
        </is>
      </c>
      <c r="I11" s="43">
        <f>IF(Год!$D$5=1,0,INDEX(Год!$H$8:$H$19,Год!$D$5)-INDEX(Год!$H$8:$H$19,Год!$D$5-1))</f>
        <v>585000</v>
      </c>
      <c r="K11" s="42" t="inlineStr">
        <is>
          <t>цель</t>
        </is>
      </c>
      <c r="L11" s="44">
        <f>Старт!$D$18</f>
        <v>0.25</v>
      </c>
    </row>
    <row r="12" ht="10" customHeight="1"/>
    <row r="13" ht="22" customHeight="1">
      <c r="B13" s="37" t="str">
        <f>"С НАЧАЛА ГОДА ПО "&amp;UPPER(Дашборд!$E$6)</f>
        <v>С НАЧАЛА ГОДА ПО ДЕКАБРЬ</v>
      </c>
      <c r="C13" s="38" t="n"/>
      <c r="D13" s="38" t="n"/>
      <c r="E13" s="38" t="n"/>
      <c r="F13" s="38" t="n"/>
      <c r="G13" s="38" t="n"/>
      <c r="H13" s="38" t="n"/>
      <c r="I13" s="38" t="n"/>
      <c r="J13" s="38" t="n"/>
      <c r="K13" s="38" t="n"/>
      <c r="L13" s="38" t="n"/>
    </row>
    <row r="14" ht="20" customHeight="1">
      <c r="B14" s="45" t="inlineStr">
        <is>
          <t>ДОХОД</t>
        </is>
      </c>
      <c r="E14" s="45" t="inlineStr">
        <is>
          <t>РАСХОД</t>
        </is>
      </c>
      <c r="H14" s="45" t="inlineStr">
        <is>
          <t>СБЕРЕЖЕНИЯ</t>
        </is>
      </c>
      <c r="K14" s="45" t="inlineStr">
        <is>
          <t>НОРМА СБЕРЕЖЕНИЙ</t>
        </is>
      </c>
    </row>
    <row r="15" ht="34" customHeight="1">
      <c r="B15" s="46">
        <f>SUM(Год!$C$8:INDEX(Год!$C$8:$C$19,Год!$D$5))</f>
        <v>39759000</v>
      </c>
      <c r="E15" s="46">
        <f>SUM(Год!$E$8:INDEX(Год!$E$8:$E$19,Год!$D$5))</f>
        <v>26481000</v>
      </c>
      <c r="H15" s="46">
        <f>SUM(Год!$H$8:INDEX(Год!$H$8:$H$19,Год!$D$5))</f>
        <v>13278000</v>
      </c>
      <c r="K15" s="47">
        <f>IF(SUM(Год!$C$8:INDEX(Год!$C$8:$C$19,Год!$D$5))=0,0,SUM(Год!$H$8:INDEX(Год!$H$8:$H$19,Год!$D$5))/SUM(Год!$C$8:INDEX(Год!$C$8:$C$19,Год!$D$5)))</f>
        <v>0.333962121783747</v>
      </c>
    </row>
    <row r="16" ht="20" customHeight="1">
      <c r="B16" s="48" t="inlineStr">
        <is>
          <t>в среднем в мес</t>
        </is>
      </c>
      <c r="C16" s="49">
        <f>SUM(Год!$C$8:INDEX(Год!$C$8:$C$19,Год!$D$5))/Год!$D$5</f>
        <v>3313250</v>
      </c>
      <c r="E16" s="48" t="inlineStr">
        <is>
          <t>к бюджету</t>
        </is>
      </c>
      <c r="F16" s="49">
        <f>SUM(Год!$G$8:INDEX(Год!$G$8:$G$19,Год!$D$5))</f>
        <v>471000</v>
      </c>
      <c r="H16" s="48" t="inlineStr">
        <is>
          <t>в среднем в мес</t>
        </is>
      </c>
      <c r="I16" s="49">
        <f>SUM(Год!$H$8:INDEX(Год!$H$8:$H$19,Год!$D$5))/Год!$D$5</f>
        <v>1106500</v>
      </c>
      <c r="K16" s="48" t="inlineStr">
        <is>
          <t>цель</t>
        </is>
      </c>
      <c r="L16" s="50">
        <f>Старт!$D$18</f>
        <v>0.25</v>
      </c>
    </row>
    <row r="17" ht="10" customHeight="1"/>
    <row r="18" ht="22" customHeight="1">
      <c r="B18" s="37" t="inlineStr">
        <is>
          <t>КАПИТАЛ И УСТОЙЧИВОСТЬ</t>
        </is>
      </c>
      <c r="C18" s="38" t="n"/>
      <c r="D18" s="38" t="n"/>
      <c r="E18" s="38" t="n"/>
      <c r="F18" s="38" t="n"/>
      <c r="G18" s="38" t="n"/>
      <c r="H18" s="38" t="n"/>
      <c r="I18" s="38" t="n"/>
      <c r="J18" s="38" t="n"/>
      <c r="K18" s="38" t="n"/>
      <c r="L18" s="38" t="n"/>
    </row>
    <row r="19" ht="20" customHeight="1">
      <c r="B19" s="45" t="inlineStr">
        <is>
          <t>ЧИСТЫЙ КАПИТАЛ</t>
        </is>
      </c>
      <c r="E19" s="45" t="inlineStr">
        <is>
          <t>ФИНАНСОВАЯ ПОДУШКА</t>
        </is>
      </c>
      <c r="H19" s="45" t="inlineStr">
        <is>
          <t>ДОЛЯ БИЗНЕС-ДОХОДА</t>
        </is>
      </c>
      <c r="K19" s="45" t="inlineStr">
        <is>
          <t>КРЕДИТНАЯ НАГРУЗКА</t>
        </is>
      </c>
    </row>
    <row r="20" ht="34" customHeight="1">
      <c r="B20" s="46">
        <f>INDEX(Год!$J$8:$J$19,Год!$D$5)</f>
        <v>171255000</v>
      </c>
      <c r="E20" s="51">
        <f>IF(Год!$E$21=0,0,INDEX(Год!$L$8:$L$19,Год!$D$5)/Год!$E$21)</f>
        <v>9.21717457799932</v>
      </c>
      <c r="H20" s="52">
        <f>IF(SUM(Год!$C$8:INDEX(Год!$C$8:$C$19,Год!$D$5))=0,0,SUM(Год!$D$8:INDEX(Год!$D$8:$D$19,Год!$D$5))/SUM(Год!$C$8:INDEX(Год!$C$8:$C$19,Год!$D$5)))</f>
        <v>0.605271762368269</v>
      </c>
      <c r="K20" s="52">
        <f>IF(INDEX(Год!$C$8:$C$19,Год!$D$5)=0,0,INDEX(Расходы!$D$47:$O$47,Год!$D$5)/INDEX(Год!$C$8:$C$19,Год!$D$5))</f>
        <v>0.0544711756695415</v>
      </c>
    </row>
    <row r="21" ht="20" customHeight="1">
      <c r="B21" s="48" t="inlineStr">
        <is>
          <t>рост с января</t>
        </is>
      </c>
      <c r="C21" s="49">
        <f>INDEX(Год!$J$8:$J$19,Год!$D$5)-Год!$J$8</f>
        <v>27956000</v>
      </c>
      <c r="E21" s="48" t="inlineStr">
        <is>
          <t>цель</t>
        </is>
      </c>
      <c r="F21" s="53">
        <f>Старт!$D$19</f>
        <v>6</v>
      </c>
      <c r="H21" s="48" t="inlineStr">
        <is>
          <t>с начала года</t>
        </is>
      </c>
      <c r="I21" s="54" t="inlineStr"/>
      <c r="K21" s="48" t="inlineStr">
        <is>
          <t>лимит</t>
        </is>
      </c>
      <c r="L21" s="50">
        <f>Старт!$D$20</f>
        <v>0.3</v>
      </c>
    </row>
    <row r="22" ht="10" customHeight="1"/>
    <row r="23" ht="20" customHeight="1">
      <c r="B23" s="45" t="inlineStr">
        <is>
          <t>ПРОГРЕСС ЦЕЛЕЙ</t>
        </is>
      </c>
      <c r="E23" s="45" t="inlineStr">
        <is>
          <t>НУЖНО НА ЦЕЛИ В МЕС</t>
        </is>
      </c>
      <c r="H23" s="45" t="inlineStr">
        <is>
          <t>АКТИВЫ</t>
        </is>
      </c>
      <c r="K23" s="45" t="inlineStr">
        <is>
          <t>ДОЛГИ</t>
        </is>
      </c>
    </row>
    <row r="24" ht="34" customHeight="1">
      <c r="B24" s="52">
        <f>Цели!$K$18</f>
        <v>0.154301103659503</v>
      </c>
      <c r="E24" s="46">
        <f>Цели!$J$18</f>
        <v>3269363.28377505</v>
      </c>
      <c r="H24" s="46">
        <f>INDEX(Капитал!$D$33:$O$33,Год!$D$5)</f>
        <v>196035000</v>
      </c>
      <c r="K24" s="46">
        <f>INDEX(Капитал!$D$34:$O$34,Год!$D$5)</f>
        <v>24780000</v>
      </c>
    </row>
    <row r="25" ht="20" customHeight="1">
      <c r="B25" s="48" t="inlineStr">
        <is>
          <t>накоплено</t>
        </is>
      </c>
      <c r="C25" s="49">
        <f>Цели!$G$18</f>
        <v>58440000</v>
      </c>
      <c r="E25" s="48" t="inlineStr">
        <is>
          <t>покрытие</t>
        </is>
      </c>
      <c r="F25" s="50">
        <f>IF(Цели!$J$18=0,0,Год!$H$21/Цели!$J$18)</f>
        <v>0.338445105042702</v>
      </c>
      <c r="H25" s="48" t="inlineStr">
        <is>
          <t>из них деньги</t>
        </is>
      </c>
      <c r="I25" s="49">
        <f>INDEX(Год!$L$8:$L$19,Год!$D$5)</f>
        <v>20340000</v>
      </c>
      <c r="K25" s="48" t="inlineStr">
        <is>
          <t>к активам</t>
        </is>
      </c>
      <c r="L25" s="50">
        <f>INDEX(Капитал!$D$38:$O$38,Год!$D$5)</f>
        <v>0.126405998928763</v>
      </c>
    </row>
    <row r="26" ht="10" customHeight="1"/>
    <row r="28" ht="22" customHeight="1">
      <c r="B28" s="37" t="inlineStr">
        <is>
          <t>ГРАФИКИ</t>
        </is>
      </c>
      <c r="C28" s="38" t="n"/>
      <c r="D28" s="38" t="n"/>
      <c r="E28" s="38" t="n"/>
      <c r="F28" s="38" t="n"/>
      <c r="G28" s="38" t="n"/>
      <c r="H28" s="38" t="n"/>
      <c r="I28" s="38" t="n"/>
      <c r="J28" s="38" t="n"/>
      <c r="K28" s="38" t="n"/>
      <c r="L28" s="38" t="n"/>
    </row>
    <row r="61" ht="22" customHeight="1">
      <c r="B61" s="37" t="inlineStr">
        <is>
          <t>ЦЕЛИ</t>
        </is>
      </c>
      <c r="C61" s="38" t="n"/>
      <c r="D61" s="38" t="n"/>
      <c r="E61" s="38" t="n"/>
      <c r="F61" s="38" t="n"/>
      <c r="G61" s="38" t="n"/>
      <c r="H61" s="38" t="n"/>
      <c r="I61" s="38" t="n"/>
      <c r="J61" s="38" t="n"/>
      <c r="K61" s="38" t="n"/>
      <c r="L61" s="38" t="n"/>
    </row>
    <row r="62" ht="16" customHeight="1">
      <c r="B62" s="55" t="inlineStr">
        <is>
          <t>Цель</t>
        </is>
      </c>
      <c r="H62" s="55" t="inlineStr">
        <is>
          <t>Прогресс</t>
        </is>
      </c>
      <c r="I62" s="55" t="inlineStr">
        <is>
          <t>Шкала</t>
        </is>
      </c>
      <c r="K62" s="55" t="inlineStr">
        <is>
          <t>Нужно в мес</t>
        </is>
      </c>
    </row>
    <row r="63" ht="19" customHeight="1">
      <c r="B63" s="56" t="str">
        <f>IF(Цели!$C$8="","",Цели!$C$8)</f>
        <v>Финансовая подушка</v>
      </c>
      <c r="C63" s="28" t="n"/>
      <c r="D63" s="28" t="n"/>
      <c r="E63" s="28" t="n"/>
      <c r="F63" s="28" t="n"/>
      <c r="G63" s="28" t="n"/>
      <c r="H63" s="57">
        <f>Цели!$K$8</f>
        <v>1</v>
      </c>
      <c r="I63" s="56" t="str">
        <f>Цели!$L$8</f>
        <v>■■■■■■■■■■</v>
      </c>
      <c r="J63" s="28" t="n"/>
      <c r="K63" s="58">
        <f>Цели!$J$8</f>
        <v>0</v>
      </c>
      <c r="L63" s="28" t="n"/>
    </row>
    <row r="64" ht="19" customHeight="1">
      <c r="B64" s="56" t="str">
        <f>IF(Цели!$C$9="","",Цели!$C$9)</f>
        <v>Первый взнос за коммерческое помещение</v>
      </c>
      <c r="C64" s="28" t="n"/>
      <c r="D64" s="28" t="n"/>
      <c r="E64" s="28" t="n"/>
      <c r="F64" s="28" t="n"/>
      <c r="G64" s="28" t="n"/>
      <c r="H64" s="57">
        <f>Цели!$K$9</f>
        <v>0.34</v>
      </c>
      <c r="I64" s="56" t="str">
        <f>Цели!$L$9</f>
        <v>■■■□□□□□□□</v>
      </c>
      <c r="J64" s="28" t="n"/>
      <c r="K64" s="58">
        <f>Цели!$J$9</f>
        <v>634615.384615385</v>
      </c>
      <c r="L64" s="28" t="n"/>
    </row>
    <row r="65" ht="19" customHeight="1">
      <c r="B65" s="56" t="str">
        <f>IF(Цели!$C$10="","",Цели!$C$10)</f>
        <v>Образование детей</v>
      </c>
      <c r="C65" s="28" t="n"/>
      <c r="D65" s="28" t="n"/>
      <c r="E65" s="28" t="n"/>
      <c r="F65" s="28" t="n"/>
      <c r="G65" s="28" t="n"/>
      <c r="H65" s="57">
        <f>Цели!$K$10</f>
        <v>0.213333333333333</v>
      </c>
      <c r="I65" s="56" t="str">
        <f>Цели!$L$10</f>
        <v>■■□□□□□□□□</v>
      </c>
      <c r="J65" s="28" t="n"/>
      <c r="K65" s="58">
        <f>Цели!$J$10</f>
        <v>168571.428571429</v>
      </c>
      <c r="L65" s="28" t="n"/>
    </row>
    <row r="66" ht="19" customHeight="1">
      <c r="B66" s="56" t="str">
        <f>IF(Цели!$C$11="","",Цели!$C$11)</f>
        <v>Семейное путешествие</v>
      </c>
      <c r="C66" s="28" t="n"/>
      <c r="D66" s="28" t="n"/>
      <c r="E66" s="28" t="n"/>
      <c r="F66" s="28" t="n"/>
      <c r="G66" s="28" t="n"/>
      <c r="H66" s="57">
        <f>Цели!$K$11</f>
        <v>0.4</v>
      </c>
      <c r="I66" s="56" t="str">
        <f>Цели!$L$11</f>
        <v>■■■■□□□□□□</v>
      </c>
      <c r="J66" s="28" t="n"/>
      <c r="K66" s="58">
        <f>Цели!$J$11</f>
        <v>262500</v>
      </c>
      <c r="L66" s="28" t="n"/>
    </row>
    <row r="67" ht="19" customHeight="1">
      <c r="B67" s="56" t="str">
        <f>IF(Цели!$C$12="","",Цели!$C$12)</f>
        <v>Новый автомобиль</v>
      </c>
      <c r="C67" s="28" t="n"/>
      <c r="D67" s="28" t="n"/>
      <c r="E67" s="28" t="n"/>
      <c r="F67" s="28" t="n"/>
      <c r="G67" s="28" t="n"/>
      <c r="H67" s="57">
        <f>Цели!$K$12</f>
        <v>0.181818181818182</v>
      </c>
      <c r="I67" s="56" t="str">
        <f>Цели!$L$12</f>
        <v>■■□□□□□□□□</v>
      </c>
      <c r="J67" s="28" t="n"/>
      <c r="K67" s="58">
        <f>Цели!$J$12</f>
        <v>562500</v>
      </c>
      <c r="L67" s="28" t="n"/>
    </row>
    <row r="68" ht="19" customHeight="1">
      <c r="B68" s="56" t="str">
        <f>IF(Цели!$C$13="","",Цели!$C$13)</f>
        <v>Капитал на пассивный доход</v>
      </c>
      <c r="C68" s="28" t="n"/>
      <c r="D68" s="28" t="n"/>
      <c r="E68" s="28" t="n"/>
      <c r="F68" s="28" t="n"/>
      <c r="G68" s="28" t="n"/>
      <c r="H68" s="57">
        <f>Цели!$K$13</f>
        <v>0.07</v>
      </c>
      <c r="I68" s="56" t="str">
        <f>Цели!$L$13</f>
        <v>■□□□□□□□□□</v>
      </c>
      <c r="J68" s="28" t="n"/>
      <c r="K68" s="58">
        <f>Цели!$J$13</f>
        <v>1641176.47058824</v>
      </c>
      <c r="L68" s="28" t="n"/>
    </row>
    <row r="70">
      <c r="B70" s="31" t="inlineStr">
        <is>
          <t>© Business Surgery · bxclub.kz</t>
        </is>
      </c>
      <c r="C70" s="32" t="n"/>
      <c r="D70" s="32" t="n"/>
      <c r="E70" s="32" t="n"/>
      <c r="F70" s="32" t="n"/>
      <c r="G70" s="32" t="n"/>
      <c r="H70" s="32" t="n"/>
      <c r="I70" s="32" t="n"/>
      <c r="J70" s="32" t="n"/>
      <c r="K70" s="32" t="n"/>
      <c r="L70" s="33" t="inlineStr">
        <is>
          <t>Шаблон для резидентов клуба</t>
        </is>
      </c>
    </row>
  </sheetData>
  <mergeCells count="52">
    <mergeCell ref="I65:J65"/>
    <mergeCell ref="K68:L68"/>
    <mergeCell ref="H20:I20"/>
    <mergeCell ref="E24:F24"/>
    <mergeCell ref="K24:L24"/>
    <mergeCell ref="H10:I10"/>
    <mergeCell ref="G6:L6"/>
    <mergeCell ref="K15:L15"/>
    <mergeCell ref="B67:G67"/>
    <mergeCell ref="K9:L9"/>
    <mergeCell ref="E23:F23"/>
    <mergeCell ref="E14:F14"/>
    <mergeCell ref="H9:I9"/>
    <mergeCell ref="K64:L64"/>
    <mergeCell ref="E20:F20"/>
    <mergeCell ref="K20:L20"/>
    <mergeCell ref="E10:F10"/>
    <mergeCell ref="E19:F19"/>
    <mergeCell ref="K63:L63"/>
    <mergeCell ref="B23:C23"/>
    <mergeCell ref="B65:G65"/>
    <mergeCell ref="B14:C14"/>
    <mergeCell ref="I66:J66"/>
    <mergeCell ref="B68:G68"/>
    <mergeCell ref="E9:F9"/>
    <mergeCell ref="B6:D6"/>
    <mergeCell ref="B64:G64"/>
    <mergeCell ref="K67:L67"/>
    <mergeCell ref="I68:J68"/>
    <mergeCell ref="E15:F15"/>
    <mergeCell ref="B19:C19"/>
    <mergeCell ref="B63:G63"/>
    <mergeCell ref="B10:C10"/>
    <mergeCell ref="I67:J67"/>
    <mergeCell ref="H19:I19"/>
    <mergeCell ref="K23:L23"/>
    <mergeCell ref="B9:C9"/>
    <mergeCell ref="K14:L14"/>
    <mergeCell ref="I64:J64"/>
    <mergeCell ref="B24:C24"/>
    <mergeCell ref="B15:C15"/>
    <mergeCell ref="B66:G66"/>
    <mergeCell ref="H24:I24"/>
    <mergeCell ref="B20:C20"/>
    <mergeCell ref="K65:L65"/>
    <mergeCell ref="K10:L10"/>
    <mergeCell ref="H15:I15"/>
    <mergeCell ref="I63:J63"/>
    <mergeCell ref="K66:L66"/>
    <mergeCell ref="K19:L19"/>
    <mergeCell ref="H23:I23"/>
    <mergeCell ref="H14:I14"/>
  </mergeCells>
  <conditionalFormatting sqref="E10">
    <cfRule type="expression" priority="1" dxfId="0">
      <formula>E10&gt;Расходы!$C$55</formula>
    </cfRule>
  </conditionalFormatting>
  <conditionalFormatting sqref="H10">
    <cfRule type="expression" priority="2" dxfId="0">
      <formula>H10&lt;0</formula>
    </cfRule>
  </conditionalFormatting>
  <conditionalFormatting sqref="I11">
    <cfRule type="expression" priority="3" dxfId="0">
      <formula>I11&lt;0</formula>
    </cfRule>
  </conditionalFormatting>
  <conditionalFormatting sqref="K10">
    <cfRule type="expression" priority="4" dxfId="0">
      <formula>K10&lt;Старт!$D$18</formula>
    </cfRule>
  </conditionalFormatting>
  <conditionalFormatting sqref="F16">
    <cfRule type="expression" priority="5" dxfId="0">
      <formula>F16&lt;0</formula>
    </cfRule>
  </conditionalFormatting>
  <conditionalFormatting sqref="H15">
    <cfRule type="expression" priority="6" dxfId="0">
      <formula>H15&lt;0</formula>
    </cfRule>
  </conditionalFormatting>
  <conditionalFormatting sqref="K15">
    <cfRule type="expression" priority="7" dxfId="0">
      <formula>K15&lt;Старт!$D$18</formula>
    </cfRule>
  </conditionalFormatting>
  <conditionalFormatting sqref="B20">
    <cfRule type="expression" priority="8" dxfId="0">
      <formula>B20&lt;0</formula>
    </cfRule>
  </conditionalFormatting>
  <conditionalFormatting sqref="C21">
    <cfRule type="expression" priority="9" dxfId="0">
      <formula>C21&lt;0</formula>
    </cfRule>
  </conditionalFormatting>
  <conditionalFormatting sqref="E20">
    <cfRule type="expression" priority="10" dxfId="0">
      <formula>E20&lt;Старт!$D$19</formula>
    </cfRule>
  </conditionalFormatting>
  <conditionalFormatting sqref="K20">
    <cfRule type="expression" priority="11" dxfId="0">
      <formula>K20&gt;Старт!$D$20</formula>
    </cfRule>
  </conditionalFormatting>
  <conditionalFormatting sqref="F25">
    <cfRule type="expression" priority="12" dxfId="0">
      <formula>F25&lt;1</formula>
    </cfRule>
  </conditionalFormatting>
  <dataValidations count="1">
    <dataValidation sqref="E6" showDropDown="0" showInputMessage="0" showErrorMessage="1" allowBlank="0" errorTitle="Месяц" error="Выберите месяц из списка" type="list">
      <formula1>=Год!$B$8:$B$19</formula1>
    </dataValidation>
  </dataValidations>
  <printOptions horizontalCentered="1"/>
  <pageMargins left="0.4" right="0.4" top="0.6" bottom="0.6" header="0.5" footer="0.5"/>
  <pageSetup orientation="landscape" paperSize="9" scale="64" fitToHeight="0" fitToWidth="1"/>
  <headerFooter differentFirst="1">
    <oddHeader/>
    <oddFooter>&amp;L&amp;"Arial"&amp;8 © Business Surgery · bxclub.kz&amp;R&amp;"Arial"&amp;8 стр. &amp;P из &amp;N</oddFooter>
    <evenHeader/>
    <evenFooter/>
    <firstHeader/>
    <firstFooter>&amp;L&amp;"Arial"&amp;8 © Business Surgery · bxclub.kz&amp;R&amp;"Arial"&amp;8 стр. &amp;P из &amp;N</firstFooter>
  </headerFooter>
  <rowBreaks count="1" manualBreakCount="1">
    <brk id="27" min="0" max="16383" man="1"/>
  </rowBreaks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000000"/>
    <outlinePr summaryBelow="1" summaryRight="1"/>
    <pageSetUpPr fitToPage="1"/>
  </sheetPr>
  <dimension ref="A1:R33"/>
  <sheetViews>
    <sheetView showGridLines="0" tabSelected="0" zoomScale="9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3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.5" customWidth="1" min="16" max="16"/>
    <col width="14.5" customWidth="1" min="17" max="17"/>
    <col width="8" customWidth="1" min="18" max="18"/>
    <col width="12" customWidth="1" min="19" max="19"/>
  </cols>
  <sheetData>
    <row r="1" ht="30" customHeight="1">
      <c r="A1" s="1" t="n"/>
      <c r="B1" s="2" t="inlineStr">
        <is>
          <t>BUSINESS SURGERY · Личный финансовый план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3" t="str">
        <f>IF(Старт!$D$15="","",Старт!$D$15&amp;"  ·  ")&amp;Старт!$D$16&amp;" год"</f>
        <v>Ваше имя  ·  2026 год</v>
      </c>
    </row>
    <row r="2" ht="10" customHeight="1"/>
    <row r="3" ht="32" customHeight="1">
      <c r="B3" s="5" t="inlineStr">
        <is>
          <t>Доходы</t>
        </is>
      </c>
    </row>
    <row r="4">
      <c r="B4" s="6" t="inlineStr">
        <is>
          <t>Фактические поступления по месяцам. Белые ячейки ваши: переименуйте источники под себя</t>
        </is>
      </c>
    </row>
    <row r="5" ht="10" customHeight="1"/>
    <row r="7" ht="30" customHeight="1">
      <c r="B7" s="59" t="inlineStr">
        <is>
          <t>Источник дохода</t>
        </is>
      </c>
      <c r="C7" s="60" t="inlineStr">
        <is>
          <t>План в мес</t>
        </is>
      </c>
      <c r="D7" s="60" t="inlineStr">
        <is>
          <t>Январь</t>
        </is>
      </c>
      <c r="E7" s="60" t="inlineStr">
        <is>
          <t>Февраль</t>
        </is>
      </c>
      <c r="F7" s="60" t="inlineStr">
        <is>
          <t>Март</t>
        </is>
      </c>
      <c r="G7" s="60" t="inlineStr">
        <is>
          <t>Апрель</t>
        </is>
      </c>
      <c r="H7" s="60" t="inlineStr">
        <is>
          <t>Май</t>
        </is>
      </c>
      <c r="I7" s="60" t="inlineStr">
        <is>
          <t>Июнь</t>
        </is>
      </c>
      <c r="J7" s="60" t="inlineStr">
        <is>
          <t>Июль</t>
        </is>
      </c>
      <c r="K7" s="60" t="inlineStr">
        <is>
          <t>Август</t>
        </is>
      </c>
      <c r="L7" s="60" t="inlineStr">
        <is>
          <t>Сентябрь</t>
        </is>
      </c>
      <c r="M7" s="60" t="inlineStr">
        <is>
          <t>Октябрь</t>
        </is>
      </c>
      <c r="N7" s="60" t="inlineStr">
        <is>
          <t>Ноябрь</t>
        </is>
      </c>
      <c r="O7" s="60" t="inlineStr">
        <is>
          <t>Декабрь</t>
        </is>
      </c>
      <c r="P7" s="60" t="inlineStr">
        <is>
          <t>Факт за год</t>
        </is>
      </c>
      <c r="Q7" s="60" t="inlineStr">
        <is>
          <t>Среднее в мес</t>
        </is>
      </c>
      <c r="R7" s="60" t="inlineStr">
        <is>
          <t>Доля</t>
        </is>
      </c>
    </row>
    <row r="8" ht="20" customHeight="1">
      <c r="B8" s="61" t="inlineStr">
        <is>
          <t>БИЗНЕС-ДИВИДЕНДЫ</t>
        </is>
      </c>
      <c r="C8" s="61">
        <f>SUM(C9:C11)</f>
        <v>1980000</v>
      </c>
      <c r="D8" s="61">
        <f>SUM(D9:D11)</f>
        <v>1561000</v>
      </c>
      <c r="E8" s="61">
        <f>SUM(E9:E11)</f>
        <v>1707000</v>
      </c>
      <c r="F8" s="61">
        <f>SUM(F9:F11)</f>
        <v>1963000</v>
      </c>
      <c r="G8" s="61">
        <f>SUM(G9:G11)</f>
        <v>1876000</v>
      </c>
      <c r="H8" s="61">
        <f>SUM(H9:H11)</f>
        <v>2066000</v>
      </c>
      <c r="I8" s="61">
        <f>SUM(I9:I11)</f>
        <v>2282000</v>
      </c>
      <c r="J8" s="61">
        <f>SUM(J9:J11)</f>
        <v>1692000</v>
      </c>
      <c r="K8" s="61">
        <f>SUM(K9:K11)</f>
        <v>1797000</v>
      </c>
      <c r="L8" s="61">
        <f>SUM(L9:L11)</f>
        <v>1975000</v>
      </c>
      <c r="M8" s="61">
        <f>SUM(M9:M11)</f>
        <v>2082000</v>
      </c>
      <c r="N8" s="61">
        <f>SUM(N9:N11)</f>
        <v>2078000</v>
      </c>
      <c r="O8" s="61">
        <f>SUM(O9:O11)</f>
        <v>2986000</v>
      </c>
      <c r="P8" s="61">
        <f>SUM(P9:P11)</f>
        <v>24065000</v>
      </c>
      <c r="Q8" s="61">
        <f>P8/Старт!$D$22</f>
        <v>2005416.66666667</v>
      </c>
      <c r="R8" s="62">
        <f>IF($P$25=0,0,P8/$P$25)</f>
        <v>0.605271762368269</v>
      </c>
    </row>
    <row r="9">
      <c r="B9" s="63" t="inlineStr">
        <is>
          <t>Компания 1 (основной бизнес)</t>
        </is>
      </c>
      <c r="C9" s="64" t="n">
        <v>1500000</v>
      </c>
      <c r="D9" s="64" t="n">
        <v>1182000</v>
      </c>
      <c r="E9" s="64" t="n">
        <v>1256000</v>
      </c>
      <c r="F9" s="64" t="n">
        <v>1524000</v>
      </c>
      <c r="G9" s="64" t="n">
        <v>1502000</v>
      </c>
      <c r="H9" s="64" t="n">
        <v>1597000</v>
      </c>
      <c r="I9" s="64" t="n">
        <v>1465000</v>
      </c>
      <c r="J9" s="64" t="n">
        <v>1256000</v>
      </c>
      <c r="K9" s="64" t="n">
        <v>1365000</v>
      </c>
      <c r="L9" s="64" t="n">
        <v>1590000</v>
      </c>
      <c r="M9" s="64" t="n">
        <v>1711000</v>
      </c>
      <c r="N9" s="64" t="n">
        <v>1655000</v>
      </c>
      <c r="O9" s="64" t="n">
        <v>2010000</v>
      </c>
      <c r="P9" s="65">
        <f>SUM(D9:O9)</f>
        <v>18113000</v>
      </c>
      <c r="Q9" s="65">
        <f>P9/Старт!$D$22</f>
        <v>1509416.66666667</v>
      </c>
      <c r="R9" s="66">
        <f>IF($P$25=0,0,P9/$P$25)</f>
        <v>0.455569808093765</v>
      </c>
    </row>
    <row r="10">
      <c r="B10" s="63" t="inlineStr">
        <is>
          <t>Компания 2 (доля партнёра)</t>
        </is>
      </c>
      <c r="C10" s="64" t="n">
        <v>400000</v>
      </c>
      <c r="D10" s="64" t="n">
        <v>379000</v>
      </c>
      <c r="E10" s="64" t="n">
        <v>451000</v>
      </c>
      <c r="F10" s="64" t="n">
        <v>439000</v>
      </c>
      <c r="G10" s="64" t="n">
        <v>374000</v>
      </c>
      <c r="H10" s="64" t="n">
        <v>469000</v>
      </c>
      <c r="I10" s="64" t="n">
        <v>467000</v>
      </c>
      <c r="J10" s="64" t="n">
        <v>436000</v>
      </c>
      <c r="K10" s="64" t="n">
        <v>432000</v>
      </c>
      <c r="L10" s="64" t="n">
        <v>385000</v>
      </c>
      <c r="M10" s="64" t="n">
        <v>371000</v>
      </c>
      <c r="N10" s="64" t="n">
        <v>423000</v>
      </c>
      <c r="O10" s="64" t="n">
        <v>376000</v>
      </c>
      <c r="P10" s="65">
        <f>SUM(D10:O10)</f>
        <v>5002000</v>
      </c>
      <c r="Q10" s="65">
        <f>P10/Старт!$D$22</f>
        <v>416833.333333333</v>
      </c>
      <c r="R10" s="66">
        <f>IF($P$25=0,0,P10/$P$25)</f>
        <v>0.125807993158782</v>
      </c>
    </row>
    <row r="11">
      <c r="B11" s="63" t="inlineStr">
        <is>
          <t>Проект 3</t>
        </is>
      </c>
      <c r="C11" s="64" t="n">
        <v>80000</v>
      </c>
      <c r="D11" s="64" t="n">
        <v>0</v>
      </c>
      <c r="E11" s="64" t="n">
        <v>0</v>
      </c>
      <c r="F11" s="64" t="n">
        <v>0</v>
      </c>
      <c r="G11" s="64" t="n">
        <v>0</v>
      </c>
      <c r="H11" s="64" t="n">
        <v>0</v>
      </c>
      <c r="I11" s="64" t="n">
        <v>350000</v>
      </c>
      <c r="J11" s="64" t="n">
        <v>0</v>
      </c>
      <c r="K11" s="64" t="n">
        <v>0</v>
      </c>
      <c r="L11" s="64" t="n">
        <v>0</v>
      </c>
      <c r="M11" s="64" t="n">
        <v>0</v>
      </c>
      <c r="N11" s="64" t="n">
        <v>0</v>
      </c>
      <c r="O11" s="64" t="n">
        <v>600000</v>
      </c>
      <c r="P11" s="65">
        <f>SUM(D11:O11)</f>
        <v>950000</v>
      </c>
      <c r="Q11" s="65">
        <f>P11/Старт!$D$22</f>
        <v>79166.6666666667</v>
      </c>
      <c r="R11" s="66">
        <f>IF($P$25=0,0,P11/$P$25)</f>
        <v>0.0238939611157222</v>
      </c>
    </row>
    <row r="12" ht="20" customHeight="1">
      <c r="B12" s="61" t="inlineStr">
        <is>
          <t>ЗАРПЛАТА</t>
        </is>
      </c>
      <c r="C12" s="61">
        <f>SUM(C13:C14)</f>
        <v>860000</v>
      </c>
      <c r="D12" s="61">
        <f>SUM(D13:D14)</f>
        <v>800000</v>
      </c>
      <c r="E12" s="61">
        <f>SUM(E13:E14)</f>
        <v>800000</v>
      </c>
      <c r="F12" s="61">
        <f>SUM(F13:F14)</f>
        <v>1050000</v>
      </c>
      <c r="G12" s="61">
        <f>SUM(G13:G14)</f>
        <v>800000</v>
      </c>
      <c r="H12" s="61">
        <f>SUM(H13:H14)</f>
        <v>800000</v>
      </c>
      <c r="I12" s="61">
        <f>SUM(I13:I14)</f>
        <v>800000</v>
      </c>
      <c r="J12" s="61">
        <f>SUM(J13:J14)</f>
        <v>980000</v>
      </c>
      <c r="K12" s="61">
        <f>SUM(K13:K14)</f>
        <v>800000</v>
      </c>
      <c r="L12" s="61">
        <f>SUM(L13:L14)</f>
        <v>800000</v>
      </c>
      <c r="M12" s="61">
        <f>SUM(M13:M14)</f>
        <v>1100000</v>
      </c>
      <c r="N12" s="61">
        <f>SUM(N13:N14)</f>
        <v>800000</v>
      </c>
      <c r="O12" s="61">
        <f>SUM(O13:O14)</f>
        <v>800000</v>
      </c>
      <c r="P12" s="61">
        <f>SUM(P13:P14)</f>
        <v>10330000</v>
      </c>
      <c r="Q12" s="61">
        <f>P12/Старт!$D$22</f>
        <v>860833.333333333</v>
      </c>
      <c r="R12" s="62">
        <f>IF($P$25=0,0,P12/$P$25)</f>
        <v>0.259815387710959</v>
      </c>
    </row>
    <row r="13">
      <c r="B13" s="63" t="inlineStr">
        <is>
          <t>Зарплата собственника</t>
        </is>
      </c>
      <c r="C13" s="64" t="n">
        <v>800000</v>
      </c>
      <c r="D13" s="64" t="n">
        <v>800000</v>
      </c>
      <c r="E13" s="64" t="n">
        <v>800000</v>
      </c>
      <c r="F13" s="64" t="n">
        <v>800000</v>
      </c>
      <c r="G13" s="64" t="n">
        <v>800000</v>
      </c>
      <c r="H13" s="64" t="n">
        <v>800000</v>
      </c>
      <c r="I13" s="64" t="n">
        <v>800000</v>
      </c>
      <c r="J13" s="64" t="n">
        <v>800000</v>
      </c>
      <c r="K13" s="64" t="n">
        <v>800000</v>
      </c>
      <c r="L13" s="64" t="n">
        <v>800000</v>
      </c>
      <c r="M13" s="64" t="n">
        <v>800000</v>
      </c>
      <c r="N13" s="64" t="n">
        <v>800000</v>
      </c>
      <c r="O13" s="64" t="n">
        <v>800000</v>
      </c>
      <c r="P13" s="65">
        <f>SUM(D13:O13)</f>
        <v>9600000</v>
      </c>
      <c r="Q13" s="65">
        <f>P13/Старт!$D$22</f>
        <v>800000</v>
      </c>
      <c r="R13" s="66">
        <f>IF($P$25=0,0,P13/$P$25)</f>
        <v>0.241454764958877</v>
      </c>
    </row>
    <row r="14">
      <c r="B14" s="63" t="inlineStr">
        <is>
          <t>Консалтинг, менторство, лекции</t>
        </is>
      </c>
      <c r="C14" s="64" t="n">
        <v>60000</v>
      </c>
      <c r="D14" s="64" t="n">
        <v>0</v>
      </c>
      <c r="E14" s="64" t="n">
        <v>0</v>
      </c>
      <c r="F14" s="64" t="n">
        <v>250000</v>
      </c>
      <c r="G14" s="64" t="n">
        <v>0</v>
      </c>
      <c r="H14" s="64" t="n">
        <v>0</v>
      </c>
      <c r="I14" s="64" t="n">
        <v>0</v>
      </c>
      <c r="J14" s="64" t="n">
        <v>180000</v>
      </c>
      <c r="K14" s="64" t="n">
        <v>0</v>
      </c>
      <c r="L14" s="64" t="n">
        <v>0</v>
      </c>
      <c r="M14" s="64" t="n">
        <v>300000</v>
      </c>
      <c r="N14" s="64" t="n">
        <v>0</v>
      </c>
      <c r="O14" s="64" t="n">
        <v>0</v>
      </c>
      <c r="P14" s="65">
        <f>SUM(D14:O14)</f>
        <v>730000</v>
      </c>
      <c r="Q14" s="65">
        <f>P14/Старт!$D$22</f>
        <v>60833.3333333333</v>
      </c>
      <c r="R14" s="66">
        <f>IF($P$25=0,0,P14/$P$25)</f>
        <v>0.0183606227520813</v>
      </c>
    </row>
    <row r="15" ht="20" customHeight="1">
      <c r="B15" s="61" t="inlineStr">
        <is>
          <t>ИНВЕСТИЦИИ И АКЦИИ</t>
        </is>
      </c>
      <c r="C15" s="61">
        <f>SUM(C16:C18)</f>
        <v>140000</v>
      </c>
      <c r="D15" s="61">
        <f>SUM(D16:D18)</f>
        <v>70000</v>
      </c>
      <c r="E15" s="61">
        <f>SUM(E16:E18)</f>
        <v>74000</v>
      </c>
      <c r="F15" s="61">
        <f>SUM(F16:F18)</f>
        <v>175000</v>
      </c>
      <c r="G15" s="61">
        <f>SUM(G16:G18)</f>
        <v>84000</v>
      </c>
      <c r="H15" s="61">
        <f>SUM(H16:H18)</f>
        <v>88000</v>
      </c>
      <c r="I15" s="61">
        <f>SUM(I16:I18)</f>
        <v>291000</v>
      </c>
      <c r="J15" s="61">
        <f>SUM(J16:J18)</f>
        <v>97000</v>
      </c>
      <c r="K15" s="61">
        <f>SUM(K16:K18)</f>
        <v>102000</v>
      </c>
      <c r="L15" s="61">
        <f>SUM(L16:L18)</f>
        <v>218000</v>
      </c>
      <c r="M15" s="61">
        <f>SUM(M16:M18)</f>
        <v>110000</v>
      </c>
      <c r="N15" s="61">
        <f>SUM(N16:N18)</f>
        <v>115000</v>
      </c>
      <c r="O15" s="61">
        <f>SUM(O16:O18)</f>
        <v>340000</v>
      </c>
      <c r="P15" s="61">
        <f>SUM(P16:P18)</f>
        <v>1764000</v>
      </c>
      <c r="Q15" s="61">
        <f>P15/Старт!$D$22</f>
        <v>147000</v>
      </c>
      <c r="R15" s="62">
        <f>IF($P$25=0,0,P15/$P$25)</f>
        <v>0.0443673130611937</v>
      </c>
    </row>
    <row r="16">
      <c r="B16" s="63" t="inlineStr">
        <is>
          <t>Дивиденды по акциям и ETF</t>
        </is>
      </c>
      <c r="C16" s="64" t="n">
        <v>35000</v>
      </c>
      <c r="D16" s="64" t="n">
        <v>0</v>
      </c>
      <c r="E16" s="64" t="n">
        <v>0</v>
      </c>
      <c r="F16" s="64" t="n">
        <v>96000</v>
      </c>
      <c r="G16" s="64" t="n">
        <v>0</v>
      </c>
      <c r="H16" s="64" t="n">
        <v>0</v>
      </c>
      <c r="I16" s="64" t="n">
        <v>104000</v>
      </c>
      <c r="J16" s="64" t="n">
        <v>0</v>
      </c>
      <c r="K16" s="64" t="n">
        <v>0</v>
      </c>
      <c r="L16" s="64" t="n">
        <v>112000</v>
      </c>
      <c r="M16" s="64" t="n">
        <v>0</v>
      </c>
      <c r="N16" s="64" t="n">
        <v>0</v>
      </c>
      <c r="O16" s="64" t="n">
        <v>125000</v>
      </c>
      <c r="P16" s="65">
        <f>SUM(D16:O16)</f>
        <v>437000</v>
      </c>
      <c r="Q16" s="65">
        <f>P16/Старт!$D$22</f>
        <v>36416.6666666667</v>
      </c>
      <c r="R16" s="66">
        <f>IF($P$25=0,0,P16/$P$25)</f>
        <v>0.0109912221132322</v>
      </c>
    </row>
    <row r="17">
      <c r="B17" s="63" t="inlineStr">
        <is>
          <t>Проценты по депозитам</t>
        </is>
      </c>
      <c r="C17" s="64" t="n">
        <v>90000</v>
      </c>
      <c r="D17" s="64" t="n">
        <v>70000</v>
      </c>
      <c r="E17" s="64" t="n">
        <v>74000</v>
      </c>
      <c r="F17" s="64" t="n">
        <v>79000</v>
      </c>
      <c r="G17" s="64" t="n">
        <v>84000</v>
      </c>
      <c r="H17" s="64" t="n">
        <v>88000</v>
      </c>
      <c r="I17" s="64" t="n">
        <v>92000</v>
      </c>
      <c r="J17" s="64" t="n">
        <v>97000</v>
      </c>
      <c r="K17" s="64" t="n">
        <v>102000</v>
      </c>
      <c r="L17" s="64" t="n">
        <v>106000</v>
      </c>
      <c r="M17" s="64" t="n">
        <v>110000</v>
      </c>
      <c r="N17" s="64" t="n">
        <v>115000</v>
      </c>
      <c r="O17" s="64" t="n">
        <v>120000</v>
      </c>
      <c r="P17" s="65">
        <f>SUM(D17:O17)</f>
        <v>1137000</v>
      </c>
      <c r="Q17" s="65">
        <f>P17/Старт!$D$22</f>
        <v>94750</v>
      </c>
      <c r="R17" s="66">
        <f>IF($P$25=0,0,P17/$P$25)</f>
        <v>0.028597298724817</v>
      </c>
    </row>
    <row r="18">
      <c r="B18" s="63" t="inlineStr">
        <is>
          <t>Купоны по облигациям</t>
        </is>
      </c>
      <c r="C18" s="64" t="n">
        <v>15000</v>
      </c>
      <c r="D18" s="64" t="n">
        <v>0</v>
      </c>
      <c r="E18" s="64" t="n">
        <v>0</v>
      </c>
      <c r="F18" s="64" t="n">
        <v>0</v>
      </c>
      <c r="G18" s="64" t="n">
        <v>0</v>
      </c>
      <c r="H18" s="64" t="n">
        <v>0</v>
      </c>
      <c r="I18" s="64" t="n">
        <v>95000</v>
      </c>
      <c r="J18" s="64" t="n">
        <v>0</v>
      </c>
      <c r="K18" s="64" t="n">
        <v>0</v>
      </c>
      <c r="L18" s="64" t="n">
        <v>0</v>
      </c>
      <c r="M18" s="64" t="n">
        <v>0</v>
      </c>
      <c r="N18" s="64" t="n">
        <v>0</v>
      </c>
      <c r="O18" s="64" t="n">
        <v>95000</v>
      </c>
      <c r="P18" s="65">
        <f>SUM(D18:O18)</f>
        <v>190000</v>
      </c>
      <c r="Q18" s="65">
        <f>P18/Старт!$D$22</f>
        <v>15833.3333333333</v>
      </c>
      <c r="R18" s="66">
        <f>IF($P$25=0,0,P18/$P$25)</f>
        <v>0.00477879222314445</v>
      </c>
    </row>
    <row r="19" ht="20" customHeight="1">
      <c r="B19" s="61" t="inlineStr">
        <is>
          <t>АРЕНДА</t>
        </is>
      </c>
      <c r="C19" s="61">
        <f>SUM(C20:C21)</f>
        <v>280000</v>
      </c>
      <c r="D19" s="61">
        <f>SUM(D20:D21)</f>
        <v>280000</v>
      </c>
      <c r="E19" s="61">
        <f>SUM(E20:E21)</f>
        <v>280000</v>
      </c>
      <c r="F19" s="61">
        <f>SUM(F20:F21)</f>
        <v>280000</v>
      </c>
      <c r="G19" s="61">
        <f>SUM(G20:G21)</f>
        <v>280000</v>
      </c>
      <c r="H19" s="61">
        <f>SUM(H20:H21)</f>
        <v>280000</v>
      </c>
      <c r="I19" s="61">
        <f>SUM(I20:I21)</f>
        <v>280000</v>
      </c>
      <c r="J19" s="61">
        <f>SUM(J20:J21)</f>
        <v>280000</v>
      </c>
      <c r="K19" s="61">
        <f>SUM(K20:K21)</f>
        <v>280000</v>
      </c>
      <c r="L19" s="61">
        <f>SUM(L20:L21)</f>
        <v>280000</v>
      </c>
      <c r="M19" s="61">
        <f>SUM(M20:M21)</f>
        <v>280000</v>
      </c>
      <c r="N19" s="61">
        <f>SUM(N20:N21)</f>
        <v>280000</v>
      </c>
      <c r="O19" s="61">
        <f>SUM(O20:O21)</f>
        <v>280000</v>
      </c>
      <c r="P19" s="61">
        <f>SUM(P20:P21)</f>
        <v>3360000</v>
      </c>
      <c r="Q19" s="61">
        <f>P19/Старт!$D$22</f>
        <v>280000</v>
      </c>
      <c r="R19" s="62">
        <f>IF($P$25=0,0,P19/$P$25)</f>
        <v>0.084509167735607</v>
      </c>
    </row>
    <row r="20">
      <c r="B20" s="63" t="inlineStr">
        <is>
          <t>Сдача квартиры</t>
        </is>
      </c>
      <c r="C20" s="64" t="n">
        <v>280000</v>
      </c>
      <c r="D20" s="64" t="n">
        <v>280000</v>
      </c>
      <c r="E20" s="64" t="n">
        <v>280000</v>
      </c>
      <c r="F20" s="64" t="n">
        <v>280000</v>
      </c>
      <c r="G20" s="64" t="n">
        <v>280000</v>
      </c>
      <c r="H20" s="64" t="n">
        <v>280000</v>
      </c>
      <c r="I20" s="64" t="n">
        <v>280000</v>
      </c>
      <c r="J20" s="64" t="n">
        <v>280000</v>
      </c>
      <c r="K20" s="64" t="n">
        <v>280000</v>
      </c>
      <c r="L20" s="64" t="n">
        <v>280000</v>
      </c>
      <c r="M20" s="64" t="n">
        <v>280000</v>
      </c>
      <c r="N20" s="64" t="n">
        <v>280000</v>
      </c>
      <c r="O20" s="64" t="n">
        <v>280000</v>
      </c>
      <c r="P20" s="65">
        <f>SUM(D20:O20)</f>
        <v>3360000</v>
      </c>
      <c r="Q20" s="65">
        <f>P20/Старт!$D$22</f>
        <v>280000</v>
      </c>
      <c r="R20" s="66">
        <f>IF($P$25=0,0,P20/$P$25)</f>
        <v>0.084509167735607</v>
      </c>
    </row>
    <row r="21">
      <c r="B21" s="63" t="inlineStr">
        <is>
          <t>Коммерческое помещение</t>
        </is>
      </c>
      <c r="C21" s="64" t="n">
        <v>0</v>
      </c>
      <c r="D21" s="64" t="n">
        <v>0</v>
      </c>
      <c r="E21" s="64" t="n">
        <v>0</v>
      </c>
      <c r="F21" s="64" t="n">
        <v>0</v>
      </c>
      <c r="G21" s="64" t="n">
        <v>0</v>
      </c>
      <c r="H21" s="64" t="n">
        <v>0</v>
      </c>
      <c r="I21" s="64" t="n">
        <v>0</v>
      </c>
      <c r="J21" s="64" t="n">
        <v>0</v>
      </c>
      <c r="K21" s="64" t="n">
        <v>0</v>
      </c>
      <c r="L21" s="64" t="n">
        <v>0</v>
      </c>
      <c r="M21" s="64" t="n">
        <v>0</v>
      </c>
      <c r="N21" s="64" t="n">
        <v>0</v>
      </c>
      <c r="O21" s="64" t="n">
        <v>0</v>
      </c>
      <c r="P21" s="65">
        <f>SUM(D21:O21)</f>
        <v>0</v>
      </c>
      <c r="Q21" s="65">
        <f>P21/Старт!$D$22</f>
        <v>0</v>
      </c>
      <c r="R21" s="66">
        <f>IF($P$25=0,0,P21/$P$25)</f>
        <v>0</v>
      </c>
    </row>
    <row r="22" ht="20" customHeight="1">
      <c r="B22" s="61" t="inlineStr">
        <is>
          <t>ПРОЧЕЕ</t>
        </is>
      </c>
      <c r="C22" s="61">
        <f>SUM(C23:C24)</f>
        <v>0</v>
      </c>
      <c r="D22" s="61">
        <f>SUM(D23:D24)</f>
        <v>50000</v>
      </c>
      <c r="E22" s="61">
        <f>SUM(E23:E24)</f>
        <v>0</v>
      </c>
      <c r="F22" s="61">
        <f>SUM(F23:F24)</f>
        <v>40000</v>
      </c>
      <c r="G22" s="61">
        <f>SUM(G23:G24)</f>
        <v>150000</v>
      </c>
      <c r="H22" s="61">
        <f>SUM(H23:H24)</f>
        <v>0</v>
      </c>
      <c r="I22" s="61">
        <f>SUM(I23:I24)</f>
        <v>0</v>
      </c>
      <c r="J22" s="61">
        <f>SUM(J23:J24)</f>
        <v>0</v>
      </c>
      <c r="K22" s="61">
        <f>SUM(K23:K24)</f>
        <v>0</v>
      </c>
      <c r="L22" s="61">
        <f>SUM(L23:L24)</f>
        <v>0</v>
      </c>
      <c r="M22" s="61">
        <f>SUM(M23:M24)</f>
        <v>0</v>
      </c>
      <c r="N22" s="61">
        <f>SUM(N23:N24)</f>
        <v>0</v>
      </c>
      <c r="O22" s="61">
        <f>SUM(O23:O24)</f>
        <v>0</v>
      </c>
      <c r="P22" s="61">
        <f>SUM(P23:P24)</f>
        <v>240000</v>
      </c>
      <c r="Q22" s="61">
        <f>P22/Старт!$D$22</f>
        <v>20000</v>
      </c>
      <c r="R22" s="62">
        <f>IF($P$25=0,0,P22/$P$25)</f>
        <v>0.00603636912397193</v>
      </c>
    </row>
    <row r="23">
      <c r="B23" s="63" t="inlineStr">
        <is>
          <t>Продажа личных вещей</t>
        </is>
      </c>
      <c r="C23" s="64" t="n">
        <v>0</v>
      </c>
      <c r="D23" s="64" t="n">
        <v>0</v>
      </c>
      <c r="E23" s="64" t="n">
        <v>0</v>
      </c>
      <c r="F23" s="64" t="n">
        <v>0</v>
      </c>
      <c r="G23" s="64" t="n">
        <v>150000</v>
      </c>
      <c r="H23" s="64" t="n">
        <v>0</v>
      </c>
      <c r="I23" s="64" t="n">
        <v>0</v>
      </c>
      <c r="J23" s="64" t="n">
        <v>0</v>
      </c>
      <c r="K23" s="64" t="n">
        <v>0</v>
      </c>
      <c r="L23" s="64" t="n">
        <v>0</v>
      </c>
      <c r="M23" s="64" t="n">
        <v>0</v>
      </c>
      <c r="N23" s="64" t="n">
        <v>0</v>
      </c>
      <c r="O23" s="64" t="n">
        <v>0</v>
      </c>
      <c r="P23" s="65">
        <f>SUM(D23:O23)</f>
        <v>150000</v>
      </c>
      <c r="Q23" s="65">
        <f>P23/Старт!$D$22</f>
        <v>12500</v>
      </c>
      <c r="R23" s="66">
        <f>IF($P$25=0,0,P23/$P$25)</f>
        <v>0.00377273070248246</v>
      </c>
    </row>
    <row r="24">
      <c r="B24" s="63" t="inlineStr">
        <is>
          <t>Подарки и прочие поступления</t>
        </is>
      </c>
      <c r="C24" s="64" t="n">
        <v>0</v>
      </c>
      <c r="D24" s="64" t="n">
        <v>50000</v>
      </c>
      <c r="E24" s="64" t="n">
        <v>0</v>
      </c>
      <c r="F24" s="64" t="n">
        <v>40000</v>
      </c>
      <c r="G24" s="64" t="n">
        <v>0</v>
      </c>
      <c r="H24" s="64" t="n">
        <v>0</v>
      </c>
      <c r="I24" s="64" t="n">
        <v>0</v>
      </c>
      <c r="J24" s="64" t="n">
        <v>0</v>
      </c>
      <c r="K24" s="64" t="n">
        <v>0</v>
      </c>
      <c r="L24" s="64" t="n">
        <v>0</v>
      </c>
      <c r="M24" s="64" t="n">
        <v>0</v>
      </c>
      <c r="N24" s="64" t="n">
        <v>0</v>
      </c>
      <c r="O24" s="64" t="n">
        <v>0</v>
      </c>
      <c r="P24" s="65">
        <f>SUM(D24:O24)</f>
        <v>90000</v>
      </c>
      <c r="Q24" s="65">
        <f>P24/Старт!$D$22</f>
        <v>7500</v>
      </c>
      <c r="R24" s="66">
        <f>IF($P$25=0,0,P24/$P$25)</f>
        <v>0.00226363842148947</v>
      </c>
    </row>
    <row r="25" ht="22" customHeight="1">
      <c r="B25" s="67" t="inlineStr">
        <is>
          <t>ИТОГО ДОХОДЫ</t>
        </is>
      </c>
      <c r="C25" s="67">
        <f>C8+C12+C15+C19+C22</f>
        <v>3260000</v>
      </c>
      <c r="D25" s="67">
        <f>D8+D12+D15+D19+D22</f>
        <v>2761000</v>
      </c>
      <c r="E25" s="67">
        <f>E8+E12+E15+E19+E22</f>
        <v>2861000</v>
      </c>
      <c r="F25" s="67">
        <f>F8+F12+F15+F19+F22</f>
        <v>3508000</v>
      </c>
      <c r="G25" s="67">
        <f>G8+G12+G15+G19+G22</f>
        <v>3190000</v>
      </c>
      <c r="H25" s="67">
        <f>H8+H12+H15+H19+H22</f>
        <v>3234000</v>
      </c>
      <c r="I25" s="67">
        <f>I8+I12+I15+I19+I22</f>
        <v>3653000</v>
      </c>
      <c r="J25" s="67">
        <f>J8+J12+J15+J19+J22</f>
        <v>3049000</v>
      </c>
      <c r="K25" s="67">
        <f>K8+K12+K15+K19+K22</f>
        <v>2979000</v>
      </c>
      <c r="L25" s="67">
        <f>L8+L12+L15+L19+L22</f>
        <v>3273000</v>
      </c>
      <c r="M25" s="67">
        <f>M8+M12+M15+M19+M22</f>
        <v>3572000</v>
      </c>
      <c r="N25" s="67">
        <f>N8+N12+N15+N19+N22</f>
        <v>3273000</v>
      </c>
      <c r="O25" s="67">
        <f>O8+O12+O15+O19+O22</f>
        <v>4406000</v>
      </c>
      <c r="P25" s="67">
        <f>P8+P12+P15+P19+P22</f>
        <v>39759000</v>
      </c>
      <c r="Q25" s="67">
        <f>P25/Старт!$D$22</f>
        <v>3313250</v>
      </c>
      <c r="R25" s="68">
        <f>IF($P$25=0,0,P25/$P$25)</f>
        <v>1</v>
      </c>
    </row>
    <row r="26">
      <c r="B26" s="69" t="inlineStr">
        <is>
          <t>План месяца</t>
        </is>
      </c>
      <c r="C26" s="70" t="n"/>
      <c r="D26" s="70">
        <f>$C$25</f>
        <v>3260000</v>
      </c>
      <c r="E26" s="70">
        <f>$C$25</f>
        <v>3260000</v>
      </c>
      <c r="F26" s="70">
        <f>$C$25</f>
        <v>3260000</v>
      </c>
      <c r="G26" s="70">
        <f>$C$25</f>
        <v>3260000</v>
      </c>
      <c r="H26" s="70">
        <f>$C$25</f>
        <v>3260000</v>
      </c>
      <c r="I26" s="70">
        <f>$C$25</f>
        <v>3260000</v>
      </c>
      <c r="J26" s="70">
        <f>$C$25</f>
        <v>3260000</v>
      </c>
      <c r="K26" s="70">
        <f>$C$25</f>
        <v>3260000</v>
      </c>
      <c r="L26" s="70">
        <f>$C$25</f>
        <v>3260000</v>
      </c>
      <c r="M26" s="70">
        <f>$C$25</f>
        <v>3260000</v>
      </c>
      <c r="N26" s="70">
        <f>$C$25</f>
        <v>3260000</v>
      </c>
      <c r="O26" s="70">
        <f>$C$25</f>
        <v>3260000</v>
      </c>
      <c r="P26" s="70" t="n"/>
      <c r="Q26" s="70" t="n"/>
      <c r="R26" s="70" t="n"/>
    </row>
    <row r="27">
      <c r="B27" s="71" t="inlineStr">
        <is>
          <t>Отклонение: факт минус план</t>
        </is>
      </c>
      <c r="C27" s="72" t="n"/>
      <c r="D27" s="72">
        <f>IF(D25=0,0,D25-D26)</f>
        <v>-499000</v>
      </c>
      <c r="E27" s="72">
        <f>IF(E25=0,0,E25-E26)</f>
        <v>-399000</v>
      </c>
      <c r="F27" s="72">
        <f>IF(F25=0,0,F25-F26)</f>
        <v>248000</v>
      </c>
      <c r="G27" s="72">
        <f>IF(G25=0,0,G25-G26)</f>
        <v>-70000</v>
      </c>
      <c r="H27" s="72">
        <f>IF(H25=0,0,H25-H26)</f>
        <v>-26000</v>
      </c>
      <c r="I27" s="72">
        <f>IF(I25=0,0,I25-I26)</f>
        <v>393000</v>
      </c>
      <c r="J27" s="72">
        <f>IF(J25=0,0,J25-J26)</f>
        <v>-211000</v>
      </c>
      <c r="K27" s="72">
        <f>IF(K25=0,0,K25-K26)</f>
        <v>-281000</v>
      </c>
      <c r="L27" s="72">
        <f>IF(L25=0,0,L25-L26)</f>
        <v>13000</v>
      </c>
      <c r="M27" s="72">
        <f>IF(M25=0,0,M25-M26)</f>
        <v>312000</v>
      </c>
      <c r="N27" s="72">
        <f>IF(N25=0,0,N25-N26)</f>
        <v>13000</v>
      </c>
      <c r="O27" s="72">
        <f>IF(O25=0,0,O25-O26)</f>
        <v>1146000</v>
      </c>
      <c r="P27" s="72">
        <f>SUM(D27:O27)</f>
        <v>639000</v>
      </c>
      <c r="Q27" s="72" t="n"/>
      <c r="R27" s="72" t="n"/>
    </row>
    <row r="29">
      <c r="B29" s="9" t="inlineStr">
        <is>
          <t>Бизнес-дивиденды: только то, что вы реально вывели из бизнеса себе. Выручка и прибыль компании сюда не пишутся.</t>
        </is>
      </c>
    </row>
    <row r="30">
      <c r="B30" s="9" t="inlineStr">
        <is>
          <t>Зарплата собственника: фиксированная выплата себе из бизнеса (см. Правила). Инвестиции: дивиденды, купоны, проценты по депозитам.</t>
        </is>
      </c>
    </row>
    <row r="31">
      <c r="B31" s="9" t="inlineStr">
        <is>
          <t>Переименовать источник можно прямо в колонке B. Доля бизнес-дохода на Дашборде считается по группе «Бизнес-дивиденды».</t>
        </is>
      </c>
    </row>
    <row r="33">
      <c r="B33" s="31" t="inlineStr">
        <is>
          <t>© Business Surgery · bxclub.kz</t>
        </is>
      </c>
      <c r="C33" s="32" t="n"/>
      <c r="D33" s="32" t="n"/>
      <c r="E33" s="32" t="n"/>
      <c r="F33" s="32" t="n"/>
      <c r="G33" s="32" t="n"/>
      <c r="H33" s="32" t="n"/>
      <c r="I33" s="32" t="n"/>
      <c r="J33" s="32" t="n"/>
      <c r="K33" s="32" t="n"/>
      <c r="L33" s="32" t="n"/>
      <c r="M33" s="32" t="n"/>
      <c r="N33" s="32" t="n"/>
      <c r="O33" s="32" t="n"/>
      <c r="P33" s="32" t="n"/>
      <c r="Q33" s="32" t="n"/>
      <c r="R33" s="33" t="inlineStr">
        <is>
          <t>Шаблон для резидентов клуба</t>
        </is>
      </c>
    </row>
  </sheetData>
  <conditionalFormatting sqref="D27:P27">
    <cfRule type="cellIs" priority="1" operator="lessThan" dxfId="0">
      <formula>0</formula>
    </cfRule>
  </conditionalFormatting>
  <dataValidations count="1">
    <dataValidation sqref="C9:O9 C10:O10 C11:O11 C13:O13 C14:O14 C16:O16 C17:O17 C18:O18 C20:O20 C21:O21 C23:O23 C24:O24" showDropDown="0" showInputMessage="0" showErrorMessage="1" allowBlank="1" errorTitle="Сумма" error="Введите сумму в тенге, 0 или больше. Возврат лучше вычесть из суммы месяца." type="decimal" operator="greaterThanOrEqual">
      <formula1>0</formula1>
    </dataValidation>
  </dataValidations>
  <printOptions horizontalCentered="1"/>
  <pageMargins left="0.4" right="0.4" top="0.6" bottom="0.6" header="0.5" footer="0.5"/>
  <pageSetup orientation="landscape" paperSize="9" fitToHeight="1" fitToWidth="1"/>
  <headerFooter differentFirst="1">
    <oddHeader/>
    <oddFooter>&amp;L&amp;"Arial"&amp;8 © Business Surgery · bxclub.kz&amp;R&amp;"Arial"&amp;8 стр. &amp;P из &amp;N</oddFooter>
    <evenHeader/>
    <evenFooter/>
    <firstHeader/>
    <firstFooter>&amp;L&amp;"Arial"&amp;8 © Business Surgery · bxclub.kz&amp;R&amp;"Arial"&amp;8 стр. &amp;P из &amp;N</firstFooter>
  </headerFooter>
</worksheet>
</file>

<file path=xl/worksheets/sheet4.xml><?xml version="1.0" encoding="utf-8"?>
<worksheet xmlns="http://schemas.openxmlformats.org/spreadsheetml/2006/main">
  <sheetPr>
    <tabColor rgb="00000000"/>
    <outlinePr summaryBelow="1" summaryRight="1"/>
    <pageSetUpPr fitToPage="1"/>
  </sheetPr>
  <dimension ref="A1:S63"/>
  <sheetViews>
    <sheetView showGridLines="0" tabSelected="0" zoomScale="9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3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.5" customWidth="1" min="16" max="16"/>
    <col width="14.5" customWidth="1" min="17" max="17"/>
    <col width="13.5" customWidth="1" min="18" max="18"/>
    <col width="12" customWidth="1" min="19" max="19"/>
  </cols>
  <sheetData>
    <row r="1" ht="30" customHeight="1">
      <c r="A1" s="1" t="n"/>
      <c r="B1" s="2" t="inlineStr">
        <is>
          <t>BUSINESS SURGERY · Личный финансовый план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3" t="str">
        <f>IF(Старт!$D$15="","",Старт!$D$15&amp;"  ·  ")&amp;Старт!$D$16&amp;" год"</f>
        <v>Ваше имя  ·  2026 год</v>
      </c>
    </row>
    <row r="2" ht="10" customHeight="1"/>
    <row r="3" ht="32" customHeight="1">
      <c r="B3" s="5" t="inlineStr">
        <is>
          <t>Расходы</t>
        </is>
      </c>
    </row>
    <row r="4">
      <c r="B4" s="6" t="inlineStr">
        <is>
          <t>Бюджет на месяц и факт по месяцам. Отклонение считается за месяцы, в которых есть данные</t>
        </is>
      </c>
    </row>
    <row r="5" ht="10" customHeight="1"/>
    <row r="7" ht="30" customHeight="1">
      <c r="B7" s="59" t="inlineStr">
        <is>
          <t>Статья расходов</t>
        </is>
      </c>
      <c r="C7" s="60" t="inlineStr">
        <is>
          <t>Бюджет в мес</t>
        </is>
      </c>
      <c r="D7" s="60" t="inlineStr">
        <is>
          <t>Январь</t>
        </is>
      </c>
      <c r="E7" s="60" t="inlineStr">
        <is>
          <t>Февраль</t>
        </is>
      </c>
      <c r="F7" s="60" t="inlineStr">
        <is>
          <t>Март</t>
        </is>
      </c>
      <c r="G7" s="60" t="inlineStr">
        <is>
          <t>Апрель</t>
        </is>
      </c>
      <c r="H7" s="60" t="inlineStr">
        <is>
          <t>Май</t>
        </is>
      </c>
      <c r="I7" s="60" t="inlineStr">
        <is>
          <t>Июнь</t>
        </is>
      </c>
      <c r="J7" s="60" t="inlineStr">
        <is>
          <t>Июль</t>
        </is>
      </c>
      <c r="K7" s="60" t="inlineStr">
        <is>
          <t>Август</t>
        </is>
      </c>
      <c r="L7" s="60" t="inlineStr">
        <is>
          <t>Сентябрь</t>
        </is>
      </c>
      <c r="M7" s="60" t="inlineStr">
        <is>
          <t>Октябрь</t>
        </is>
      </c>
      <c r="N7" s="60" t="inlineStr">
        <is>
          <t>Ноябрь</t>
        </is>
      </c>
      <c r="O7" s="60" t="inlineStr">
        <is>
          <t>Декабрь</t>
        </is>
      </c>
      <c r="P7" s="60" t="inlineStr">
        <is>
          <t>Факт за год</t>
        </is>
      </c>
      <c r="Q7" s="60" t="inlineStr">
        <is>
          <t>Бюджет за период</t>
        </is>
      </c>
      <c r="R7" s="60" t="inlineStr">
        <is>
          <t>Отклонение</t>
        </is>
      </c>
      <c r="S7" s="60" t="inlineStr">
        <is>
          <t>Исполнение</t>
        </is>
      </c>
    </row>
    <row r="8" ht="20" customHeight="1">
      <c r="B8" s="61" t="inlineStr">
        <is>
          <t>ЖИЛЬЁ</t>
        </is>
      </c>
      <c r="C8" s="61">
        <f>SUM(C9:C12)</f>
        <v>391000</v>
      </c>
      <c r="D8" s="61">
        <f>SUM(D9:D12)</f>
        <v>375000</v>
      </c>
      <c r="E8" s="61">
        <f>SUM(E9:E12)</f>
        <v>408000</v>
      </c>
      <c r="F8" s="61">
        <f>SUM(F9:F12)</f>
        <v>365000</v>
      </c>
      <c r="G8" s="61">
        <f>SUM(G9:G12)</f>
        <v>361000</v>
      </c>
      <c r="H8" s="61">
        <f>SUM(H9:H12)</f>
        <v>534000</v>
      </c>
      <c r="I8" s="61">
        <f>SUM(I9:I12)</f>
        <v>353000</v>
      </c>
      <c r="J8" s="61">
        <f>SUM(J9:J12)</f>
        <v>352000</v>
      </c>
      <c r="K8" s="61">
        <f>SUM(K9:K12)</f>
        <v>353000</v>
      </c>
      <c r="L8" s="61">
        <f>SUM(L9:L12)</f>
        <v>414000</v>
      </c>
      <c r="M8" s="61">
        <f>SUM(M9:M12)</f>
        <v>362000</v>
      </c>
      <c r="N8" s="61">
        <f>SUM(N9:N12)</f>
        <v>370000</v>
      </c>
      <c r="O8" s="61">
        <f>SUM(O9:O12)</f>
        <v>375000</v>
      </c>
      <c r="P8" s="61">
        <f>SUM(P9:P12)</f>
        <v>4622000</v>
      </c>
      <c r="Q8" s="61">
        <f>C8*Старт!$D$22</f>
        <v>4692000</v>
      </c>
      <c r="R8" s="61">
        <f>Q8-P8</f>
        <v>70000</v>
      </c>
      <c r="S8" s="62">
        <f>IF(Q8=0,0,P8/Q8)</f>
        <v>0.985080988917306</v>
      </c>
    </row>
    <row r="9">
      <c r="B9" s="63" t="inlineStr">
        <is>
          <t>Ипотека или аренда</t>
        </is>
      </c>
      <c r="C9" s="64" t="n">
        <v>300000</v>
      </c>
      <c r="D9" s="64" t="n">
        <v>300000</v>
      </c>
      <c r="E9" s="64" t="n">
        <v>300000</v>
      </c>
      <c r="F9" s="64" t="n">
        <v>300000</v>
      </c>
      <c r="G9" s="64" t="n">
        <v>300000</v>
      </c>
      <c r="H9" s="64" t="n">
        <v>300000</v>
      </c>
      <c r="I9" s="64" t="n">
        <v>300000</v>
      </c>
      <c r="J9" s="64" t="n">
        <v>300000</v>
      </c>
      <c r="K9" s="64" t="n">
        <v>300000</v>
      </c>
      <c r="L9" s="64" t="n">
        <v>300000</v>
      </c>
      <c r="M9" s="64" t="n">
        <v>300000</v>
      </c>
      <c r="N9" s="64" t="n">
        <v>300000</v>
      </c>
      <c r="O9" s="64" t="n">
        <v>300000</v>
      </c>
      <c r="P9" s="65">
        <f>SUM(D9:O9)</f>
        <v>3600000</v>
      </c>
      <c r="Q9" s="65">
        <f>C9*Старт!$D$22</f>
        <v>3600000</v>
      </c>
      <c r="R9" s="65">
        <f>Q9-P9</f>
        <v>0</v>
      </c>
      <c r="S9" s="66">
        <f>IF(Q9=0,0,P9/Q9)</f>
        <v>1</v>
      </c>
    </row>
    <row r="10">
      <c r="B10" s="63" t="inlineStr">
        <is>
          <t>Коммунальные платежи</t>
        </is>
      </c>
      <c r="C10" s="64" t="n">
        <v>50000</v>
      </c>
      <c r="D10" s="64" t="n">
        <v>59000</v>
      </c>
      <c r="E10" s="64" t="n">
        <v>57000</v>
      </c>
      <c r="F10" s="64" t="n">
        <v>49000</v>
      </c>
      <c r="G10" s="64" t="n">
        <v>45000</v>
      </c>
      <c r="H10" s="64" t="n">
        <v>38000</v>
      </c>
      <c r="I10" s="64" t="n">
        <v>37000</v>
      </c>
      <c r="J10" s="64" t="n">
        <v>36000</v>
      </c>
      <c r="K10" s="64" t="n">
        <v>37000</v>
      </c>
      <c r="L10" s="64" t="n">
        <v>38000</v>
      </c>
      <c r="M10" s="64" t="n">
        <v>46000</v>
      </c>
      <c r="N10" s="64" t="n">
        <v>54000</v>
      </c>
      <c r="O10" s="64" t="n">
        <v>59000</v>
      </c>
      <c r="P10" s="65">
        <f>SUM(D10:O10)</f>
        <v>555000</v>
      </c>
      <c r="Q10" s="65">
        <f>C10*Старт!$D$22</f>
        <v>600000</v>
      </c>
      <c r="R10" s="65">
        <f>Q10-P10</f>
        <v>45000</v>
      </c>
      <c r="S10" s="66">
        <f>IF(Q10=0,0,P10/Q10)</f>
        <v>0.925</v>
      </c>
    </row>
    <row r="11">
      <c r="B11" s="63" t="inlineStr">
        <is>
          <t>Интернет и мобильная связь</t>
        </is>
      </c>
      <c r="C11" s="64" t="n">
        <v>16000</v>
      </c>
      <c r="D11" s="64" t="n">
        <v>16000</v>
      </c>
      <c r="E11" s="64" t="n">
        <v>16000</v>
      </c>
      <c r="F11" s="64" t="n">
        <v>16000</v>
      </c>
      <c r="G11" s="64" t="n">
        <v>16000</v>
      </c>
      <c r="H11" s="64" t="n">
        <v>16000</v>
      </c>
      <c r="I11" s="64" t="n">
        <v>16000</v>
      </c>
      <c r="J11" s="64" t="n">
        <v>16000</v>
      </c>
      <c r="K11" s="64" t="n">
        <v>16000</v>
      </c>
      <c r="L11" s="64" t="n">
        <v>16000</v>
      </c>
      <c r="M11" s="64" t="n">
        <v>16000</v>
      </c>
      <c r="N11" s="64" t="n">
        <v>16000</v>
      </c>
      <c r="O11" s="64" t="n">
        <v>16000</v>
      </c>
      <c r="P11" s="65">
        <f>SUM(D11:O11)</f>
        <v>192000</v>
      </c>
      <c r="Q11" s="65">
        <f>C11*Старт!$D$22</f>
        <v>192000</v>
      </c>
      <c r="R11" s="65">
        <f>Q11-P11</f>
        <v>0</v>
      </c>
      <c r="S11" s="66">
        <f>IF(Q11=0,0,P11/Q11)</f>
        <v>1</v>
      </c>
    </row>
    <row r="12">
      <c r="B12" s="63" t="inlineStr">
        <is>
          <t>Ремонт и обслуживание</t>
        </is>
      </c>
      <c r="C12" s="64" t="n">
        <v>25000</v>
      </c>
      <c r="D12" s="64" t="n">
        <v>0</v>
      </c>
      <c r="E12" s="64" t="n">
        <v>35000</v>
      </c>
      <c r="F12" s="64" t="n">
        <v>0</v>
      </c>
      <c r="G12" s="64" t="n">
        <v>0</v>
      </c>
      <c r="H12" s="64" t="n">
        <v>180000</v>
      </c>
      <c r="I12" s="64" t="n">
        <v>0</v>
      </c>
      <c r="J12" s="64" t="n">
        <v>0</v>
      </c>
      <c r="K12" s="64" t="n">
        <v>0</v>
      </c>
      <c r="L12" s="64" t="n">
        <v>60000</v>
      </c>
      <c r="M12" s="64" t="n">
        <v>0</v>
      </c>
      <c r="N12" s="64" t="n">
        <v>0</v>
      </c>
      <c r="O12" s="64" t="n">
        <v>0</v>
      </c>
      <c r="P12" s="65">
        <f>SUM(D12:O12)</f>
        <v>275000</v>
      </c>
      <c r="Q12" s="65">
        <f>C12*Старт!$D$22</f>
        <v>300000</v>
      </c>
      <c r="R12" s="65">
        <f>Q12-P12</f>
        <v>25000</v>
      </c>
      <c r="S12" s="66">
        <f>IF(Q12=0,0,P12/Q12)</f>
        <v>0.916666666666667</v>
      </c>
    </row>
    <row r="13" ht="20" customHeight="1">
      <c r="B13" s="61" t="inlineStr">
        <is>
          <t>ЕДА</t>
        </is>
      </c>
      <c r="C13" s="61">
        <f>SUM(C14:C16)</f>
        <v>335000</v>
      </c>
      <c r="D13" s="61">
        <f>SUM(D14:D16)</f>
        <v>358000</v>
      </c>
      <c r="E13" s="61">
        <f>SUM(E14:E16)</f>
        <v>358000</v>
      </c>
      <c r="F13" s="61">
        <f>SUM(F14:F16)</f>
        <v>329000</v>
      </c>
      <c r="G13" s="61">
        <f>SUM(G14:G16)</f>
        <v>330000</v>
      </c>
      <c r="H13" s="61">
        <f>SUM(H14:H16)</f>
        <v>339000</v>
      </c>
      <c r="I13" s="61">
        <f>SUM(I14:I16)</f>
        <v>320000</v>
      </c>
      <c r="J13" s="61">
        <f>SUM(J14:J16)</f>
        <v>341000</v>
      </c>
      <c r="K13" s="61">
        <f>SUM(K14:K16)</f>
        <v>309000</v>
      </c>
      <c r="L13" s="61">
        <f>SUM(L14:L16)</f>
        <v>327000</v>
      </c>
      <c r="M13" s="61">
        <f>SUM(M14:M16)</f>
        <v>330000</v>
      </c>
      <c r="N13" s="61">
        <f>SUM(N14:N16)</f>
        <v>355000</v>
      </c>
      <c r="O13" s="61">
        <f>SUM(O14:O16)</f>
        <v>319000</v>
      </c>
      <c r="P13" s="61">
        <f>SUM(P14:P16)</f>
        <v>4015000</v>
      </c>
      <c r="Q13" s="61">
        <f>C13*Старт!$D$22</f>
        <v>4020000</v>
      </c>
      <c r="R13" s="61">
        <f>Q13-P13</f>
        <v>5000</v>
      </c>
      <c r="S13" s="62">
        <f>IF(Q13=0,0,P13/Q13)</f>
        <v>0.998756218905473</v>
      </c>
    </row>
    <row r="14">
      <c r="B14" s="63" t="inlineStr">
        <is>
          <t>Продукты</t>
        </is>
      </c>
      <c r="C14" s="64" t="n">
        <v>190000</v>
      </c>
      <c r="D14" s="64" t="n">
        <v>198000</v>
      </c>
      <c r="E14" s="64" t="n">
        <v>198000</v>
      </c>
      <c r="F14" s="64" t="n">
        <v>194000</v>
      </c>
      <c r="G14" s="64" t="n">
        <v>190000</v>
      </c>
      <c r="H14" s="64" t="n">
        <v>180000</v>
      </c>
      <c r="I14" s="64" t="n">
        <v>178000</v>
      </c>
      <c r="J14" s="64" t="n">
        <v>180000</v>
      </c>
      <c r="K14" s="64" t="n">
        <v>174000</v>
      </c>
      <c r="L14" s="64" t="n">
        <v>192000</v>
      </c>
      <c r="M14" s="64" t="n">
        <v>182000</v>
      </c>
      <c r="N14" s="64" t="n">
        <v>194000</v>
      </c>
      <c r="O14" s="64" t="n">
        <v>182000</v>
      </c>
      <c r="P14" s="65">
        <f>SUM(D14:O14)</f>
        <v>2242000</v>
      </c>
      <c r="Q14" s="65">
        <f>C14*Старт!$D$22</f>
        <v>2280000</v>
      </c>
      <c r="R14" s="65">
        <f>Q14-P14</f>
        <v>38000</v>
      </c>
      <c r="S14" s="66">
        <f>IF(Q14=0,0,P14/Q14)</f>
        <v>0.983333333333333</v>
      </c>
    </row>
    <row r="15">
      <c r="B15" s="63" t="inlineStr">
        <is>
          <t>Кафе и рестораны</t>
        </is>
      </c>
      <c r="C15" s="64" t="n">
        <v>110000</v>
      </c>
      <c r="D15" s="64" t="n">
        <v>130000</v>
      </c>
      <c r="E15" s="64" t="n">
        <v>125000</v>
      </c>
      <c r="F15" s="64" t="n">
        <v>88000</v>
      </c>
      <c r="G15" s="64" t="n">
        <v>97000</v>
      </c>
      <c r="H15" s="64" t="n">
        <v>128000</v>
      </c>
      <c r="I15" s="64" t="n">
        <v>109000</v>
      </c>
      <c r="J15" s="64" t="n">
        <v>131000</v>
      </c>
      <c r="K15" s="64" t="n">
        <v>105000</v>
      </c>
      <c r="L15" s="64" t="n">
        <v>91000</v>
      </c>
      <c r="M15" s="64" t="n">
        <v>116000</v>
      </c>
      <c r="N15" s="64" t="n">
        <v>122000</v>
      </c>
      <c r="O15" s="64" t="n">
        <v>100000</v>
      </c>
      <c r="P15" s="65">
        <f>SUM(D15:O15)</f>
        <v>1342000</v>
      </c>
      <c r="Q15" s="65">
        <f>C15*Старт!$D$22</f>
        <v>1320000</v>
      </c>
      <c r="R15" s="65">
        <f>Q15-P15</f>
        <v>-22000</v>
      </c>
      <c r="S15" s="66">
        <f>IF(Q15=0,0,P15/Q15)</f>
        <v>1.01666666666667</v>
      </c>
    </row>
    <row r="16">
      <c r="B16" s="63" t="inlineStr">
        <is>
          <t>Доставка еды</t>
        </is>
      </c>
      <c r="C16" s="64" t="n">
        <v>35000</v>
      </c>
      <c r="D16" s="64" t="n">
        <v>30000</v>
      </c>
      <c r="E16" s="64" t="n">
        <v>35000</v>
      </c>
      <c r="F16" s="64" t="n">
        <v>47000</v>
      </c>
      <c r="G16" s="64" t="n">
        <v>43000</v>
      </c>
      <c r="H16" s="64" t="n">
        <v>31000</v>
      </c>
      <c r="I16" s="64" t="n">
        <v>33000</v>
      </c>
      <c r="J16" s="64" t="n">
        <v>30000</v>
      </c>
      <c r="K16" s="64" t="n">
        <v>30000</v>
      </c>
      <c r="L16" s="64" t="n">
        <v>44000</v>
      </c>
      <c r="M16" s="64" t="n">
        <v>32000</v>
      </c>
      <c r="N16" s="64" t="n">
        <v>39000</v>
      </c>
      <c r="O16" s="64" t="n">
        <v>37000</v>
      </c>
      <c r="P16" s="65">
        <f>SUM(D16:O16)</f>
        <v>431000</v>
      </c>
      <c r="Q16" s="65">
        <f>C16*Старт!$D$22</f>
        <v>420000</v>
      </c>
      <c r="R16" s="65">
        <f>Q16-P16</f>
        <v>-11000</v>
      </c>
      <c r="S16" s="66">
        <f>IF(Q16=0,0,P16/Q16)</f>
        <v>1.02619047619048</v>
      </c>
    </row>
    <row r="17" ht="20" customHeight="1">
      <c r="B17" s="61" t="inlineStr">
        <is>
          <t>СЕМЬЯ И ДЕТИ</t>
        </is>
      </c>
      <c r="C17" s="61">
        <f>SUM(C18:C21)</f>
        <v>335000</v>
      </c>
      <c r="D17" s="61">
        <f>SUM(D18:D21)</f>
        <v>333000</v>
      </c>
      <c r="E17" s="61">
        <f>SUM(E18:E21)</f>
        <v>337000</v>
      </c>
      <c r="F17" s="61">
        <f>SUM(F18:F21)</f>
        <v>332000</v>
      </c>
      <c r="G17" s="61">
        <f>SUM(G18:G21)</f>
        <v>336000</v>
      </c>
      <c r="H17" s="61">
        <f>SUM(H18:H21)</f>
        <v>332000</v>
      </c>
      <c r="I17" s="61">
        <f>SUM(I18:I21)</f>
        <v>334000</v>
      </c>
      <c r="J17" s="61">
        <f>SUM(J18:J21)</f>
        <v>148000</v>
      </c>
      <c r="K17" s="61">
        <f>SUM(K18:K21)</f>
        <v>148000</v>
      </c>
      <c r="L17" s="61">
        <f>SUM(L18:L21)</f>
        <v>339000</v>
      </c>
      <c r="M17" s="61">
        <f>SUM(M18:M21)</f>
        <v>337000</v>
      </c>
      <c r="N17" s="61">
        <f>SUM(N18:N21)</f>
        <v>334000</v>
      </c>
      <c r="O17" s="61">
        <f>SUM(O18:O21)</f>
        <v>338000</v>
      </c>
      <c r="P17" s="61">
        <f>SUM(P18:P21)</f>
        <v>3648000</v>
      </c>
      <c r="Q17" s="61">
        <f>C17*Старт!$D$22</f>
        <v>4020000</v>
      </c>
      <c r="R17" s="61">
        <f>Q17-P17</f>
        <v>372000</v>
      </c>
      <c r="S17" s="62">
        <f>IF(Q17=0,0,P17/Q17)</f>
        <v>0.907462686567164</v>
      </c>
    </row>
    <row r="18">
      <c r="B18" s="63" t="inlineStr">
        <is>
          <t>Детский сад, школа</t>
        </is>
      </c>
      <c r="C18" s="64" t="n">
        <v>150000</v>
      </c>
      <c r="D18" s="64" t="n">
        <v>150000</v>
      </c>
      <c r="E18" s="64" t="n">
        <v>150000</v>
      </c>
      <c r="F18" s="64" t="n">
        <v>150000</v>
      </c>
      <c r="G18" s="64" t="n">
        <v>150000</v>
      </c>
      <c r="H18" s="64" t="n">
        <v>150000</v>
      </c>
      <c r="I18" s="64" t="n">
        <v>150000</v>
      </c>
      <c r="J18" s="64" t="n">
        <v>0</v>
      </c>
      <c r="K18" s="64" t="n">
        <v>0</v>
      </c>
      <c r="L18" s="64" t="n">
        <v>150000</v>
      </c>
      <c r="M18" s="64" t="n">
        <v>150000</v>
      </c>
      <c r="N18" s="64" t="n">
        <v>150000</v>
      </c>
      <c r="O18" s="64" t="n">
        <v>150000</v>
      </c>
      <c r="P18" s="65">
        <f>SUM(D18:O18)</f>
        <v>1500000</v>
      </c>
      <c r="Q18" s="65">
        <f>C18*Старт!$D$22</f>
        <v>1800000</v>
      </c>
      <c r="R18" s="65">
        <f>Q18-P18</f>
        <v>300000</v>
      </c>
      <c r="S18" s="66">
        <f>IF(Q18=0,0,P18/Q18)</f>
        <v>0.833333333333333</v>
      </c>
    </row>
    <row r="19">
      <c r="B19" s="63" t="inlineStr">
        <is>
          <t>Кружки и секции</t>
        </is>
      </c>
      <c r="C19" s="64" t="n">
        <v>60000</v>
      </c>
      <c r="D19" s="64" t="n">
        <v>60000</v>
      </c>
      <c r="E19" s="64" t="n">
        <v>60000</v>
      </c>
      <c r="F19" s="64" t="n">
        <v>60000</v>
      </c>
      <c r="G19" s="64" t="n">
        <v>60000</v>
      </c>
      <c r="H19" s="64" t="n">
        <v>60000</v>
      </c>
      <c r="I19" s="64" t="n">
        <v>60000</v>
      </c>
      <c r="J19" s="64" t="n">
        <v>25000</v>
      </c>
      <c r="K19" s="64" t="n">
        <v>25000</v>
      </c>
      <c r="L19" s="64" t="n">
        <v>60000</v>
      </c>
      <c r="M19" s="64" t="n">
        <v>60000</v>
      </c>
      <c r="N19" s="64" t="n">
        <v>60000</v>
      </c>
      <c r="O19" s="64" t="n">
        <v>60000</v>
      </c>
      <c r="P19" s="65">
        <f>SUM(D19:O19)</f>
        <v>650000</v>
      </c>
      <c r="Q19" s="65">
        <f>C19*Старт!$D$22</f>
        <v>720000</v>
      </c>
      <c r="R19" s="65">
        <f>Q19-P19</f>
        <v>70000</v>
      </c>
      <c r="S19" s="66">
        <f>IF(Q19=0,0,P19/Q19)</f>
        <v>0.902777777777778</v>
      </c>
    </row>
    <row r="20">
      <c r="B20" s="63" t="inlineStr">
        <is>
          <t>Помощь родителям</t>
        </is>
      </c>
      <c r="C20" s="64" t="n">
        <v>100000</v>
      </c>
      <c r="D20" s="64" t="n">
        <v>100000</v>
      </c>
      <c r="E20" s="64" t="n">
        <v>100000</v>
      </c>
      <c r="F20" s="64" t="n">
        <v>100000</v>
      </c>
      <c r="G20" s="64" t="n">
        <v>100000</v>
      </c>
      <c r="H20" s="64" t="n">
        <v>100000</v>
      </c>
      <c r="I20" s="64" t="n">
        <v>100000</v>
      </c>
      <c r="J20" s="64" t="n">
        <v>100000</v>
      </c>
      <c r="K20" s="64" t="n">
        <v>100000</v>
      </c>
      <c r="L20" s="64" t="n">
        <v>100000</v>
      </c>
      <c r="M20" s="64" t="n">
        <v>100000</v>
      </c>
      <c r="N20" s="64" t="n">
        <v>100000</v>
      </c>
      <c r="O20" s="64" t="n">
        <v>100000</v>
      </c>
      <c r="P20" s="65">
        <f>SUM(D20:O20)</f>
        <v>1200000</v>
      </c>
      <c r="Q20" s="65">
        <f>C20*Старт!$D$22</f>
        <v>1200000</v>
      </c>
      <c r="R20" s="65">
        <f>Q20-P20</f>
        <v>0</v>
      </c>
      <c r="S20" s="66">
        <f>IF(Q20=0,0,P20/Q20)</f>
        <v>1</v>
      </c>
    </row>
    <row r="21">
      <c r="B21" s="63" t="inlineStr">
        <is>
          <t>Хозяйственные товары</t>
        </is>
      </c>
      <c r="C21" s="64" t="n">
        <v>25000</v>
      </c>
      <c r="D21" s="64" t="n">
        <v>23000</v>
      </c>
      <c r="E21" s="64" t="n">
        <v>27000</v>
      </c>
      <c r="F21" s="64" t="n">
        <v>22000</v>
      </c>
      <c r="G21" s="64" t="n">
        <v>26000</v>
      </c>
      <c r="H21" s="64" t="n">
        <v>22000</v>
      </c>
      <c r="I21" s="64" t="n">
        <v>24000</v>
      </c>
      <c r="J21" s="64" t="n">
        <v>23000</v>
      </c>
      <c r="K21" s="64" t="n">
        <v>23000</v>
      </c>
      <c r="L21" s="64" t="n">
        <v>29000</v>
      </c>
      <c r="M21" s="64" t="n">
        <v>27000</v>
      </c>
      <c r="N21" s="64" t="n">
        <v>24000</v>
      </c>
      <c r="O21" s="64" t="n">
        <v>28000</v>
      </c>
      <c r="P21" s="65">
        <f>SUM(D21:O21)</f>
        <v>298000</v>
      </c>
      <c r="Q21" s="65">
        <f>C21*Старт!$D$22</f>
        <v>300000</v>
      </c>
      <c r="R21" s="65">
        <f>Q21-P21</f>
        <v>2000</v>
      </c>
      <c r="S21" s="66">
        <f>IF(Q21=0,0,P21/Q21)</f>
        <v>0.993333333333333</v>
      </c>
    </row>
    <row r="22" ht="20" customHeight="1">
      <c r="B22" s="61" t="inlineStr">
        <is>
          <t>ТРАНСПОРТ</t>
        </is>
      </c>
      <c r="C22" s="61">
        <f>SUM(C23:C26)</f>
        <v>103000</v>
      </c>
      <c r="D22" s="61">
        <f>SUM(D23:D26)</f>
        <v>86000</v>
      </c>
      <c r="E22" s="61">
        <f>SUM(E23:E26)</f>
        <v>93000</v>
      </c>
      <c r="F22" s="61">
        <f>SUM(F23:F26)</f>
        <v>90000</v>
      </c>
      <c r="G22" s="61">
        <f>SUM(G23:G26)</f>
        <v>223000</v>
      </c>
      <c r="H22" s="61">
        <f>SUM(H23:H26)</f>
        <v>87000</v>
      </c>
      <c r="I22" s="61">
        <f>SUM(I23:I26)</f>
        <v>98000</v>
      </c>
      <c r="J22" s="61">
        <f>SUM(J23:J26)</f>
        <v>92000</v>
      </c>
      <c r="K22" s="61">
        <f>SUM(K23:K26)</f>
        <v>91000</v>
      </c>
      <c r="L22" s="61">
        <f>SUM(L23:L26)</f>
        <v>98000</v>
      </c>
      <c r="M22" s="61">
        <f>SUM(M23:M26)</f>
        <v>182000</v>
      </c>
      <c r="N22" s="61">
        <f>SUM(N23:N26)</f>
        <v>84000</v>
      </c>
      <c r="O22" s="61">
        <f>SUM(O23:O26)</f>
        <v>79000</v>
      </c>
      <c r="P22" s="61">
        <f>SUM(P23:P26)</f>
        <v>1303000</v>
      </c>
      <c r="Q22" s="61">
        <f>C22*Старт!$D$22</f>
        <v>1236000</v>
      </c>
      <c r="R22" s="61">
        <f>Q22-P22</f>
        <v>-67000</v>
      </c>
      <c r="S22" s="62">
        <f>IF(Q22=0,0,P22/Q22)</f>
        <v>1.0542071197411</v>
      </c>
    </row>
    <row r="23">
      <c r="B23" s="63" t="inlineStr">
        <is>
          <t>Бензин</t>
        </is>
      </c>
      <c r="C23" s="64" t="n">
        <v>50000</v>
      </c>
      <c r="D23" s="64" t="n">
        <v>49000</v>
      </c>
      <c r="E23" s="64" t="n">
        <v>51000</v>
      </c>
      <c r="F23" s="64" t="n">
        <v>56000</v>
      </c>
      <c r="G23" s="64" t="n">
        <v>53000</v>
      </c>
      <c r="H23" s="64" t="n">
        <v>48000</v>
      </c>
      <c r="I23" s="64" t="n">
        <v>57000</v>
      </c>
      <c r="J23" s="64" t="n">
        <v>49000</v>
      </c>
      <c r="K23" s="64" t="n">
        <v>49000</v>
      </c>
      <c r="L23" s="64" t="n">
        <v>55000</v>
      </c>
      <c r="M23" s="64" t="n">
        <v>50000</v>
      </c>
      <c r="N23" s="64" t="n">
        <v>50000</v>
      </c>
      <c r="O23" s="64" t="n">
        <v>48000</v>
      </c>
      <c r="P23" s="65">
        <f>SUM(D23:O23)</f>
        <v>615000</v>
      </c>
      <c r="Q23" s="65">
        <f>C23*Старт!$D$22</f>
        <v>600000</v>
      </c>
      <c r="R23" s="65">
        <f>Q23-P23</f>
        <v>-15000</v>
      </c>
      <c r="S23" s="66">
        <f>IF(Q23=0,0,P23/Q23)</f>
        <v>1.025</v>
      </c>
    </row>
    <row r="24">
      <c r="B24" s="63" t="inlineStr">
        <is>
          <t>Обслуживание авто</t>
        </is>
      </c>
      <c r="C24" s="64" t="n">
        <v>25000</v>
      </c>
      <c r="D24" s="64" t="n">
        <v>8000</v>
      </c>
      <c r="E24" s="64" t="n">
        <v>8000</v>
      </c>
      <c r="F24" s="64" t="n">
        <v>8000</v>
      </c>
      <c r="G24" s="64" t="n">
        <v>140000</v>
      </c>
      <c r="H24" s="64" t="n">
        <v>8000</v>
      </c>
      <c r="I24" s="64" t="n">
        <v>8000</v>
      </c>
      <c r="J24" s="64" t="n">
        <v>8000</v>
      </c>
      <c r="K24" s="64" t="n">
        <v>8000</v>
      </c>
      <c r="L24" s="64" t="n">
        <v>8000</v>
      </c>
      <c r="M24" s="64" t="n">
        <v>95000</v>
      </c>
      <c r="N24" s="64" t="n">
        <v>8000</v>
      </c>
      <c r="O24" s="64" t="n">
        <v>8000</v>
      </c>
      <c r="P24" s="65">
        <f>SUM(D24:O24)</f>
        <v>315000</v>
      </c>
      <c r="Q24" s="65">
        <f>C24*Старт!$D$22</f>
        <v>300000</v>
      </c>
      <c r="R24" s="65">
        <f>Q24-P24</f>
        <v>-15000</v>
      </c>
      <c r="S24" s="66">
        <f>IF(Q24=0,0,P24/Q24)</f>
        <v>1.05</v>
      </c>
    </row>
    <row r="25">
      <c r="B25" s="63" t="inlineStr">
        <is>
          <t>Такси</t>
        </is>
      </c>
      <c r="C25" s="64" t="n">
        <v>20000</v>
      </c>
      <c r="D25" s="64" t="n">
        <v>17000</v>
      </c>
      <c r="E25" s="64" t="n">
        <v>23000</v>
      </c>
      <c r="F25" s="64" t="n">
        <v>19000</v>
      </c>
      <c r="G25" s="64" t="n">
        <v>23000</v>
      </c>
      <c r="H25" s="64" t="n">
        <v>20000</v>
      </c>
      <c r="I25" s="64" t="n">
        <v>21000</v>
      </c>
      <c r="J25" s="64" t="n">
        <v>28000</v>
      </c>
      <c r="K25" s="64" t="n">
        <v>22000</v>
      </c>
      <c r="L25" s="64" t="n">
        <v>23000</v>
      </c>
      <c r="M25" s="64" t="n">
        <v>27000</v>
      </c>
      <c r="N25" s="64" t="n">
        <v>18000</v>
      </c>
      <c r="O25" s="64" t="n">
        <v>17000</v>
      </c>
      <c r="P25" s="65">
        <f>SUM(D25:O25)</f>
        <v>258000</v>
      </c>
      <c r="Q25" s="65">
        <f>C25*Старт!$D$22</f>
        <v>240000</v>
      </c>
      <c r="R25" s="65">
        <f>Q25-P25</f>
        <v>-18000</v>
      </c>
      <c r="S25" s="66">
        <f>IF(Q25=0,0,P25/Q25)</f>
        <v>1.075</v>
      </c>
    </row>
    <row r="26">
      <c r="B26" s="63" t="inlineStr">
        <is>
          <t>Парковка и штрафы</t>
        </is>
      </c>
      <c r="C26" s="64" t="n">
        <v>8000</v>
      </c>
      <c r="D26" s="64" t="n">
        <v>12000</v>
      </c>
      <c r="E26" s="64" t="n">
        <v>11000</v>
      </c>
      <c r="F26" s="64" t="n">
        <v>7000</v>
      </c>
      <c r="G26" s="64" t="n">
        <v>7000</v>
      </c>
      <c r="H26" s="64" t="n">
        <v>11000</v>
      </c>
      <c r="I26" s="64" t="n">
        <v>12000</v>
      </c>
      <c r="J26" s="64" t="n">
        <v>7000</v>
      </c>
      <c r="K26" s="64" t="n">
        <v>12000</v>
      </c>
      <c r="L26" s="64" t="n">
        <v>12000</v>
      </c>
      <c r="M26" s="64" t="n">
        <v>10000</v>
      </c>
      <c r="N26" s="64" t="n">
        <v>8000</v>
      </c>
      <c r="O26" s="64" t="n">
        <v>6000</v>
      </c>
      <c r="P26" s="65">
        <f>SUM(D26:O26)</f>
        <v>115000</v>
      </c>
      <c r="Q26" s="65">
        <f>C26*Старт!$D$22</f>
        <v>96000</v>
      </c>
      <c r="R26" s="65">
        <f>Q26-P26</f>
        <v>-19000</v>
      </c>
      <c r="S26" s="66">
        <f>IF(Q26=0,0,P26/Q26)</f>
        <v>1.19791666666667</v>
      </c>
    </row>
    <row r="27" ht="20" customHeight="1">
      <c r="B27" s="61" t="inlineStr">
        <is>
          <t>ЗДОРОВЬЕ И СПОРТ</t>
        </is>
      </c>
      <c r="C27" s="61">
        <f>SUM(C28:C31)</f>
        <v>125000</v>
      </c>
      <c r="D27" s="61">
        <f>SUM(D28:D31)</f>
        <v>327000</v>
      </c>
      <c r="E27" s="61">
        <f>SUM(E28:E31)</f>
        <v>118000</v>
      </c>
      <c r="F27" s="61">
        <f>SUM(F28:F31)</f>
        <v>93000</v>
      </c>
      <c r="G27" s="61">
        <f>SUM(G28:G31)</f>
        <v>103000</v>
      </c>
      <c r="H27" s="61">
        <f>SUM(H28:H31)</f>
        <v>98000</v>
      </c>
      <c r="I27" s="61">
        <f>SUM(I28:I31)</f>
        <v>106000</v>
      </c>
      <c r="J27" s="61">
        <f>SUM(J28:J31)</f>
        <v>97000</v>
      </c>
      <c r="K27" s="61">
        <f>SUM(K28:K31)</f>
        <v>91000</v>
      </c>
      <c r="L27" s="61">
        <f>SUM(L28:L31)</f>
        <v>89000</v>
      </c>
      <c r="M27" s="61">
        <f>SUM(M28:M31)</f>
        <v>102000</v>
      </c>
      <c r="N27" s="61">
        <f>SUM(N28:N31)</f>
        <v>83000</v>
      </c>
      <c r="O27" s="61">
        <f>SUM(O28:O31)</f>
        <v>90000</v>
      </c>
      <c r="P27" s="61">
        <f>SUM(P28:P31)</f>
        <v>1397000</v>
      </c>
      <c r="Q27" s="61">
        <f>C27*Старт!$D$22</f>
        <v>1500000</v>
      </c>
      <c r="R27" s="61">
        <f>Q27-P27</f>
        <v>103000</v>
      </c>
      <c r="S27" s="62">
        <f>IF(Q27=0,0,P27/Q27)</f>
        <v>0.931333333333333</v>
      </c>
    </row>
    <row r="28">
      <c r="B28" s="63" t="inlineStr">
        <is>
          <t>Спортзал, тренер</t>
        </is>
      </c>
      <c r="C28" s="64" t="n">
        <v>45000</v>
      </c>
      <c r="D28" s="64" t="n">
        <v>45000</v>
      </c>
      <c r="E28" s="64" t="n">
        <v>45000</v>
      </c>
      <c r="F28" s="64" t="n">
        <v>45000</v>
      </c>
      <c r="G28" s="64" t="n">
        <v>45000</v>
      </c>
      <c r="H28" s="64" t="n">
        <v>45000</v>
      </c>
      <c r="I28" s="64" t="n">
        <v>45000</v>
      </c>
      <c r="J28" s="64" t="n">
        <v>45000</v>
      </c>
      <c r="K28" s="64" t="n">
        <v>45000</v>
      </c>
      <c r="L28" s="64" t="n">
        <v>45000</v>
      </c>
      <c r="M28" s="64" t="n">
        <v>45000</v>
      </c>
      <c r="N28" s="64" t="n">
        <v>45000</v>
      </c>
      <c r="O28" s="64" t="n">
        <v>45000</v>
      </c>
      <c r="P28" s="65">
        <f>SUM(D28:O28)</f>
        <v>540000</v>
      </c>
      <c r="Q28" s="65">
        <f>C28*Старт!$D$22</f>
        <v>540000</v>
      </c>
      <c r="R28" s="65">
        <f>Q28-P28</f>
        <v>0</v>
      </c>
      <c r="S28" s="66">
        <f>IF(Q28=0,0,P28/Q28)</f>
        <v>1</v>
      </c>
    </row>
    <row r="29">
      <c r="B29" s="63" t="inlineStr">
        <is>
          <t>Медицина и лекарства</t>
        </is>
      </c>
      <c r="C29" s="64" t="n">
        <v>30000</v>
      </c>
      <c r="D29" s="64" t="n">
        <v>11000</v>
      </c>
      <c r="E29" s="64" t="n">
        <v>39000</v>
      </c>
      <c r="F29" s="64" t="n">
        <v>17000</v>
      </c>
      <c r="G29" s="64" t="n">
        <v>31000</v>
      </c>
      <c r="H29" s="64" t="n">
        <v>18000</v>
      </c>
      <c r="I29" s="64" t="n">
        <v>35000</v>
      </c>
      <c r="J29" s="64" t="n">
        <v>28000</v>
      </c>
      <c r="K29" s="64" t="n">
        <v>19000</v>
      </c>
      <c r="L29" s="64" t="n">
        <v>15000</v>
      </c>
      <c r="M29" s="64" t="n">
        <v>32000</v>
      </c>
      <c r="N29" s="64" t="n">
        <v>12000</v>
      </c>
      <c r="O29" s="64" t="n">
        <v>17000</v>
      </c>
      <c r="P29" s="65">
        <f>SUM(D29:O29)</f>
        <v>274000</v>
      </c>
      <c r="Q29" s="65">
        <f>C29*Старт!$D$22</f>
        <v>360000</v>
      </c>
      <c r="R29" s="65">
        <f>Q29-P29</f>
        <v>86000</v>
      </c>
      <c r="S29" s="66">
        <f>IF(Q29=0,0,P29/Q29)</f>
        <v>0.761111111111111</v>
      </c>
    </row>
    <row r="30">
      <c r="B30" s="63" t="inlineStr">
        <is>
          <t>Медицинская страховка</t>
        </is>
      </c>
      <c r="C30" s="64" t="n">
        <v>20000</v>
      </c>
      <c r="D30" s="64" t="n">
        <v>240000</v>
      </c>
      <c r="E30" s="64" t="n">
        <v>0</v>
      </c>
      <c r="F30" s="64" t="n">
        <v>0</v>
      </c>
      <c r="G30" s="64" t="n">
        <v>0</v>
      </c>
      <c r="H30" s="64" t="n">
        <v>0</v>
      </c>
      <c r="I30" s="64" t="n">
        <v>0</v>
      </c>
      <c r="J30" s="64" t="n">
        <v>0</v>
      </c>
      <c r="K30" s="64" t="n">
        <v>0</v>
      </c>
      <c r="L30" s="64" t="n">
        <v>0</v>
      </c>
      <c r="M30" s="64" t="n">
        <v>0</v>
      </c>
      <c r="N30" s="64" t="n">
        <v>0</v>
      </c>
      <c r="O30" s="64" t="n">
        <v>0</v>
      </c>
      <c r="P30" s="65">
        <f>SUM(D30:O30)</f>
        <v>240000</v>
      </c>
      <c r="Q30" s="65">
        <f>C30*Старт!$D$22</f>
        <v>240000</v>
      </c>
      <c r="R30" s="65">
        <f>Q30-P30</f>
        <v>0</v>
      </c>
      <c r="S30" s="66">
        <f>IF(Q30=0,0,P30/Q30)</f>
        <v>1</v>
      </c>
    </row>
    <row r="31">
      <c r="B31" s="63" t="inlineStr">
        <is>
          <t>Уход за собой</t>
        </is>
      </c>
      <c r="C31" s="64" t="n">
        <v>30000</v>
      </c>
      <c r="D31" s="64" t="n">
        <v>31000</v>
      </c>
      <c r="E31" s="64" t="n">
        <v>34000</v>
      </c>
      <c r="F31" s="64" t="n">
        <v>31000</v>
      </c>
      <c r="G31" s="64" t="n">
        <v>27000</v>
      </c>
      <c r="H31" s="64" t="n">
        <v>35000</v>
      </c>
      <c r="I31" s="64" t="n">
        <v>26000</v>
      </c>
      <c r="J31" s="64" t="n">
        <v>24000</v>
      </c>
      <c r="K31" s="64" t="n">
        <v>27000</v>
      </c>
      <c r="L31" s="64" t="n">
        <v>29000</v>
      </c>
      <c r="M31" s="64" t="n">
        <v>25000</v>
      </c>
      <c r="N31" s="64" t="n">
        <v>26000</v>
      </c>
      <c r="O31" s="64" t="n">
        <v>28000</v>
      </c>
      <c r="P31" s="65">
        <f>SUM(D31:O31)</f>
        <v>343000</v>
      </c>
      <c r="Q31" s="65">
        <f>C31*Старт!$D$22</f>
        <v>360000</v>
      </c>
      <c r="R31" s="65">
        <f>Q31-P31</f>
        <v>17000</v>
      </c>
      <c r="S31" s="66">
        <f>IF(Q31=0,0,P31/Q31)</f>
        <v>0.952777777777778</v>
      </c>
    </row>
    <row r="32" ht="20" customHeight="1">
      <c r="B32" s="61" t="inlineStr">
        <is>
          <t>ОДЕЖДА</t>
        </is>
      </c>
      <c r="C32" s="61">
        <f>SUM(C33:C34)</f>
        <v>82000</v>
      </c>
      <c r="D32" s="61">
        <f>SUM(D33:D34)</f>
        <v>56000</v>
      </c>
      <c r="E32" s="61">
        <f>SUM(E33:E34)</f>
        <v>51000</v>
      </c>
      <c r="F32" s="61">
        <f>SUM(F33:F34)</f>
        <v>169000</v>
      </c>
      <c r="G32" s="61">
        <f>SUM(G33:G34)</f>
        <v>59000</v>
      </c>
      <c r="H32" s="61">
        <f>SUM(H33:H34)</f>
        <v>60000</v>
      </c>
      <c r="I32" s="61">
        <f>SUM(I33:I34)</f>
        <v>57000</v>
      </c>
      <c r="J32" s="61">
        <f>SUM(J33:J34)</f>
        <v>57000</v>
      </c>
      <c r="K32" s="61">
        <f>SUM(K33:K34)</f>
        <v>56000</v>
      </c>
      <c r="L32" s="61">
        <f>SUM(L33:L34)</f>
        <v>216000</v>
      </c>
      <c r="M32" s="61">
        <f>SUM(M33:M34)</f>
        <v>50000</v>
      </c>
      <c r="N32" s="61">
        <f>SUM(N33:N34)</f>
        <v>145000</v>
      </c>
      <c r="O32" s="61">
        <f>SUM(O33:O34)</f>
        <v>59000</v>
      </c>
      <c r="P32" s="61">
        <f>SUM(P33:P34)</f>
        <v>1035000</v>
      </c>
      <c r="Q32" s="61">
        <f>C32*Старт!$D$22</f>
        <v>984000</v>
      </c>
      <c r="R32" s="61">
        <f>Q32-P32</f>
        <v>-51000</v>
      </c>
      <c r="S32" s="62">
        <f>IF(Q32=0,0,P32/Q32)</f>
        <v>1.05182926829268</v>
      </c>
    </row>
    <row r="33">
      <c r="B33" s="63" t="inlineStr">
        <is>
          <t>Одежда и обувь</t>
        </is>
      </c>
      <c r="C33" s="64" t="n">
        <v>70000</v>
      </c>
      <c r="D33" s="64" t="n">
        <v>45000</v>
      </c>
      <c r="E33" s="64" t="n">
        <v>45000</v>
      </c>
      <c r="F33" s="64" t="n">
        <v>160000</v>
      </c>
      <c r="G33" s="64" t="n">
        <v>45000</v>
      </c>
      <c r="H33" s="64" t="n">
        <v>45000</v>
      </c>
      <c r="I33" s="64" t="n">
        <v>45000</v>
      </c>
      <c r="J33" s="64" t="n">
        <v>45000</v>
      </c>
      <c r="K33" s="64" t="n">
        <v>45000</v>
      </c>
      <c r="L33" s="64" t="n">
        <v>210000</v>
      </c>
      <c r="M33" s="64" t="n">
        <v>45000</v>
      </c>
      <c r="N33" s="64" t="n">
        <v>140000</v>
      </c>
      <c r="O33" s="64" t="n">
        <v>45000</v>
      </c>
      <c r="P33" s="65">
        <f>SUM(D33:O33)</f>
        <v>915000</v>
      </c>
      <c r="Q33" s="65">
        <f>C33*Старт!$D$22</f>
        <v>840000</v>
      </c>
      <c r="R33" s="65">
        <f>Q33-P33</f>
        <v>-75000</v>
      </c>
      <c r="S33" s="66">
        <f>IF(Q33=0,0,P33/Q33)</f>
        <v>1.08928571428571</v>
      </c>
    </row>
    <row r="34">
      <c r="B34" s="63" t="inlineStr">
        <is>
          <t>Аксессуары</t>
        </is>
      </c>
      <c r="C34" s="64" t="n">
        <v>12000</v>
      </c>
      <c r="D34" s="64" t="n">
        <v>11000</v>
      </c>
      <c r="E34" s="64" t="n">
        <v>6000</v>
      </c>
      <c r="F34" s="64" t="n">
        <v>9000</v>
      </c>
      <c r="G34" s="64" t="n">
        <v>14000</v>
      </c>
      <c r="H34" s="64" t="n">
        <v>15000</v>
      </c>
      <c r="I34" s="64" t="n">
        <v>12000</v>
      </c>
      <c r="J34" s="64" t="n">
        <v>12000</v>
      </c>
      <c r="K34" s="64" t="n">
        <v>11000</v>
      </c>
      <c r="L34" s="64" t="n">
        <v>6000</v>
      </c>
      <c r="M34" s="64" t="n">
        <v>5000</v>
      </c>
      <c r="N34" s="64" t="n">
        <v>5000</v>
      </c>
      <c r="O34" s="64" t="n">
        <v>14000</v>
      </c>
      <c r="P34" s="65">
        <f>SUM(D34:O34)</f>
        <v>120000</v>
      </c>
      <c r="Q34" s="65">
        <f>C34*Старт!$D$22</f>
        <v>144000</v>
      </c>
      <c r="R34" s="65">
        <f>Q34-P34</f>
        <v>24000</v>
      </c>
      <c r="S34" s="66">
        <f>IF(Q34=0,0,P34/Q34)</f>
        <v>0.833333333333333</v>
      </c>
    </row>
    <row r="35" ht="20" customHeight="1">
      <c r="B35" s="61" t="inlineStr">
        <is>
          <t>ОБРАЗОВАНИЕ</t>
        </is>
      </c>
      <c r="C35" s="61">
        <f>SUM(C36:C38)</f>
        <v>147000</v>
      </c>
      <c r="D35" s="61">
        <f>SUM(D36:D38)</f>
        <v>102000</v>
      </c>
      <c r="E35" s="61">
        <f>SUM(E36:E38)</f>
        <v>282000</v>
      </c>
      <c r="F35" s="61">
        <f>SUM(F36:F38)</f>
        <v>102000</v>
      </c>
      <c r="G35" s="61">
        <f>SUM(G36:G38)</f>
        <v>102000</v>
      </c>
      <c r="H35" s="61">
        <f>SUM(H36:H38)</f>
        <v>102000</v>
      </c>
      <c r="I35" s="61">
        <f>SUM(I36:I38)</f>
        <v>102000</v>
      </c>
      <c r="J35" s="61">
        <f>SUM(J36:J38)</f>
        <v>102000</v>
      </c>
      <c r="K35" s="61">
        <f>SUM(K36:K38)</f>
        <v>102000</v>
      </c>
      <c r="L35" s="61">
        <f>SUM(L36:L38)</f>
        <v>452000</v>
      </c>
      <c r="M35" s="61">
        <f>SUM(M36:M38)</f>
        <v>102000</v>
      </c>
      <c r="N35" s="61">
        <f>SUM(N36:N38)</f>
        <v>102000</v>
      </c>
      <c r="O35" s="61">
        <f>SUM(O36:O38)</f>
        <v>102000</v>
      </c>
      <c r="P35" s="61">
        <f>SUM(P36:P38)</f>
        <v>1754000</v>
      </c>
      <c r="Q35" s="61">
        <f>C35*Старт!$D$22</f>
        <v>1764000</v>
      </c>
      <c r="R35" s="61">
        <f>Q35-P35</f>
        <v>10000</v>
      </c>
      <c r="S35" s="62">
        <f>IF(Q35=0,0,P35/Q35)</f>
        <v>0.994331065759637</v>
      </c>
    </row>
    <row r="36">
      <c r="B36" s="63" t="inlineStr">
        <is>
          <t>Курсы и тренинги</t>
        </is>
      </c>
      <c r="C36" s="64" t="n">
        <v>45000</v>
      </c>
      <c r="D36" s="64" t="n">
        <v>0</v>
      </c>
      <c r="E36" s="64" t="n">
        <v>180000</v>
      </c>
      <c r="F36" s="64" t="n">
        <v>0</v>
      </c>
      <c r="G36" s="64" t="n">
        <v>0</v>
      </c>
      <c r="H36" s="64" t="n">
        <v>0</v>
      </c>
      <c r="I36" s="64" t="n">
        <v>0</v>
      </c>
      <c r="J36" s="64" t="n">
        <v>0</v>
      </c>
      <c r="K36" s="64" t="n">
        <v>0</v>
      </c>
      <c r="L36" s="64" t="n">
        <v>350000</v>
      </c>
      <c r="M36" s="64" t="n">
        <v>0</v>
      </c>
      <c r="N36" s="64" t="n">
        <v>0</v>
      </c>
      <c r="O36" s="64" t="n">
        <v>0</v>
      </c>
      <c r="P36" s="65">
        <f>SUM(D36:O36)</f>
        <v>530000</v>
      </c>
      <c r="Q36" s="65">
        <f>C36*Старт!$D$22</f>
        <v>540000</v>
      </c>
      <c r="R36" s="65">
        <f>Q36-P36</f>
        <v>10000</v>
      </c>
      <c r="S36" s="66">
        <f>IF(Q36=0,0,P36/Q36)</f>
        <v>0.981481481481482</v>
      </c>
    </row>
    <row r="37">
      <c r="B37" s="63" t="inlineStr">
        <is>
          <t>Книги и подписки</t>
        </is>
      </c>
      <c r="C37" s="64" t="n">
        <v>12000</v>
      </c>
      <c r="D37" s="64" t="n">
        <v>12000</v>
      </c>
      <c r="E37" s="64" t="n">
        <v>12000</v>
      </c>
      <c r="F37" s="64" t="n">
        <v>12000</v>
      </c>
      <c r="G37" s="64" t="n">
        <v>12000</v>
      </c>
      <c r="H37" s="64" t="n">
        <v>12000</v>
      </c>
      <c r="I37" s="64" t="n">
        <v>12000</v>
      </c>
      <c r="J37" s="64" t="n">
        <v>12000</v>
      </c>
      <c r="K37" s="64" t="n">
        <v>12000</v>
      </c>
      <c r="L37" s="64" t="n">
        <v>12000</v>
      </c>
      <c r="M37" s="64" t="n">
        <v>12000</v>
      </c>
      <c r="N37" s="64" t="n">
        <v>12000</v>
      </c>
      <c r="O37" s="64" t="n">
        <v>12000</v>
      </c>
      <c r="P37" s="65">
        <f>SUM(D37:O37)</f>
        <v>144000</v>
      </c>
      <c r="Q37" s="65">
        <f>C37*Старт!$D$22</f>
        <v>144000</v>
      </c>
      <c r="R37" s="65">
        <f>Q37-P37</f>
        <v>0</v>
      </c>
      <c r="S37" s="66">
        <f>IF(Q37=0,0,P37/Q37)</f>
        <v>1</v>
      </c>
    </row>
    <row r="38">
      <c r="B38" s="63" t="inlineStr">
        <is>
          <t>Бизнес-клуб и нетворкинг</t>
        </is>
      </c>
      <c r="C38" s="64" t="n">
        <v>90000</v>
      </c>
      <c r="D38" s="64" t="n">
        <v>90000</v>
      </c>
      <c r="E38" s="64" t="n">
        <v>90000</v>
      </c>
      <c r="F38" s="64" t="n">
        <v>90000</v>
      </c>
      <c r="G38" s="64" t="n">
        <v>90000</v>
      </c>
      <c r="H38" s="64" t="n">
        <v>90000</v>
      </c>
      <c r="I38" s="64" t="n">
        <v>90000</v>
      </c>
      <c r="J38" s="64" t="n">
        <v>90000</v>
      </c>
      <c r="K38" s="64" t="n">
        <v>90000</v>
      </c>
      <c r="L38" s="64" t="n">
        <v>90000</v>
      </c>
      <c r="M38" s="64" t="n">
        <v>90000</v>
      </c>
      <c r="N38" s="64" t="n">
        <v>90000</v>
      </c>
      <c r="O38" s="64" t="n">
        <v>90000</v>
      </c>
      <c r="P38" s="65">
        <f>SUM(D38:O38)</f>
        <v>1080000</v>
      </c>
      <c r="Q38" s="65">
        <f>C38*Старт!$D$22</f>
        <v>1080000</v>
      </c>
      <c r="R38" s="65">
        <f>Q38-P38</f>
        <v>0</v>
      </c>
      <c r="S38" s="66">
        <f>IF(Q38=0,0,P38/Q38)</f>
        <v>1</v>
      </c>
    </row>
    <row r="39" ht="20" customHeight="1">
      <c r="B39" s="61" t="inlineStr">
        <is>
          <t>ОТДЫХ</t>
        </is>
      </c>
      <c r="C39" s="61">
        <f>SUM(C40:C42)</f>
        <v>255000</v>
      </c>
      <c r="D39" s="61">
        <f>SUM(D40:D42)</f>
        <v>74000</v>
      </c>
      <c r="E39" s="61">
        <f>SUM(E40:E42)</f>
        <v>79000</v>
      </c>
      <c r="F39" s="61">
        <f>SUM(F40:F42)</f>
        <v>708000</v>
      </c>
      <c r="G39" s="61">
        <f>SUM(G40:G42)</f>
        <v>74000</v>
      </c>
      <c r="H39" s="61">
        <f>SUM(H40:H42)</f>
        <v>63000</v>
      </c>
      <c r="I39" s="61">
        <f>SUM(I40:I42)</f>
        <v>74000</v>
      </c>
      <c r="J39" s="61">
        <f>SUM(J40:J42)</f>
        <v>1167000</v>
      </c>
      <c r="K39" s="61">
        <f>SUM(K40:K42)</f>
        <v>83000</v>
      </c>
      <c r="L39" s="61">
        <f>SUM(L40:L42)</f>
        <v>54000</v>
      </c>
      <c r="M39" s="61">
        <f>SUM(M40:M42)</f>
        <v>70000</v>
      </c>
      <c r="N39" s="61">
        <f>SUM(N40:N42)</f>
        <v>76000</v>
      </c>
      <c r="O39" s="61">
        <f>SUM(O40:O42)</f>
        <v>526000</v>
      </c>
      <c r="P39" s="61">
        <f>SUM(P40:P42)</f>
        <v>3048000</v>
      </c>
      <c r="Q39" s="61">
        <f>C39*Старт!$D$22</f>
        <v>3060000</v>
      </c>
      <c r="R39" s="61">
        <f>Q39-P39</f>
        <v>12000</v>
      </c>
      <c r="S39" s="62">
        <f>IF(Q39=0,0,P39/Q39)</f>
        <v>0.996078431372549</v>
      </c>
    </row>
    <row r="40">
      <c r="B40" s="63" t="inlineStr">
        <is>
          <t>Путешествия</t>
        </is>
      </c>
      <c r="C40" s="64" t="n">
        <v>190000</v>
      </c>
      <c r="D40" s="64" t="n">
        <v>0</v>
      </c>
      <c r="E40" s="64" t="n">
        <v>0</v>
      </c>
      <c r="F40" s="64" t="n">
        <v>650000</v>
      </c>
      <c r="G40" s="64" t="n">
        <v>0</v>
      </c>
      <c r="H40" s="64" t="n">
        <v>0</v>
      </c>
      <c r="I40" s="64" t="n">
        <v>0</v>
      </c>
      <c r="J40" s="64" t="n">
        <v>1100000</v>
      </c>
      <c r="K40" s="64" t="n">
        <v>0</v>
      </c>
      <c r="L40" s="64" t="n">
        <v>0</v>
      </c>
      <c r="M40" s="64" t="n">
        <v>0</v>
      </c>
      <c r="N40" s="64" t="n">
        <v>0</v>
      </c>
      <c r="O40" s="64" t="n">
        <v>450000</v>
      </c>
      <c r="P40" s="65">
        <f>SUM(D40:O40)</f>
        <v>2200000</v>
      </c>
      <c r="Q40" s="65">
        <f>C40*Старт!$D$22</f>
        <v>2280000</v>
      </c>
      <c r="R40" s="65">
        <f>Q40-P40</f>
        <v>80000</v>
      </c>
      <c r="S40" s="66">
        <f>IF(Q40=0,0,P40/Q40)</f>
        <v>0.964912280701754</v>
      </c>
    </row>
    <row r="41">
      <c r="B41" s="63" t="inlineStr">
        <is>
          <t>Развлечения</t>
        </is>
      </c>
      <c r="C41" s="64" t="n">
        <v>40000</v>
      </c>
      <c r="D41" s="64" t="n">
        <v>45000</v>
      </c>
      <c r="E41" s="64" t="n">
        <v>51000</v>
      </c>
      <c r="F41" s="64" t="n">
        <v>29000</v>
      </c>
      <c r="G41" s="64" t="n">
        <v>43000</v>
      </c>
      <c r="H41" s="64" t="n">
        <v>40000</v>
      </c>
      <c r="I41" s="64" t="n">
        <v>46000</v>
      </c>
      <c r="J41" s="64" t="n">
        <v>36000</v>
      </c>
      <c r="K41" s="64" t="n">
        <v>52000</v>
      </c>
      <c r="L41" s="64" t="n">
        <v>30000</v>
      </c>
      <c r="M41" s="64" t="n">
        <v>41000</v>
      </c>
      <c r="N41" s="64" t="n">
        <v>46000</v>
      </c>
      <c r="O41" s="64" t="n">
        <v>50000</v>
      </c>
      <c r="P41" s="65">
        <f>SUM(D41:O41)</f>
        <v>509000</v>
      </c>
      <c r="Q41" s="65">
        <f>C41*Старт!$D$22</f>
        <v>480000</v>
      </c>
      <c r="R41" s="65">
        <f>Q41-P41</f>
        <v>-29000</v>
      </c>
      <c r="S41" s="66">
        <f>IF(Q41=0,0,P41/Q41)</f>
        <v>1.06041666666667</v>
      </c>
    </row>
    <row r="42">
      <c r="B42" s="63" t="inlineStr">
        <is>
          <t>Хобби</t>
        </is>
      </c>
      <c r="C42" s="64" t="n">
        <v>25000</v>
      </c>
      <c r="D42" s="64" t="n">
        <v>29000</v>
      </c>
      <c r="E42" s="64" t="n">
        <v>28000</v>
      </c>
      <c r="F42" s="64" t="n">
        <v>29000</v>
      </c>
      <c r="G42" s="64" t="n">
        <v>31000</v>
      </c>
      <c r="H42" s="64" t="n">
        <v>23000</v>
      </c>
      <c r="I42" s="64" t="n">
        <v>28000</v>
      </c>
      <c r="J42" s="64" t="n">
        <v>31000</v>
      </c>
      <c r="K42" s="64" t="n">
        <v>31000</v>
      </c>
      <c r="L42" s="64" t="n">
        <v>24000</v>
      </c>
      <c r="M42" s="64" t="n">
        <v>29000</v>
      </c>
      <c r="N42" s="64" t="n">
        <v>30000</v>
      </c>
      <c r="O42" s="64" t="n">
        <v>26000</v>
      </c>
      <c r="P42" s="65">
        <f>SUM(D42:O42)</f>
        <v>339000</v>
      </c>
      <c r="Q42" s="65">
        <f>C42*Старт!$D$22</f>
        <v>300000</v>
      </c>
      <c r="R42" s="65">
        <f>Q42-P42</f>
        <v>-39000</v>
      </c>
      <c r="S42" s="66">
        <f>IF(Q42=0,0,P42/Q42)</f>
        <v>1.13</v>
      </c>
    </row>
    <row r="43" ht="20" customHeight="1">
      <c r="B43" s="61" t="inlineStr">
        <is>
          <t>ПОДАРКИ И БЛАГОТВОРИТЕЛЬНОСТЬ</t>
        </is>
      </c>
      <c r="C43" s="61">
        <f>SUM(C44:C46)</f>
        <v>150000</v>
      </c>
      <c r="D43" s="61">
        <f>SUM(D44:D46)</f>
        <v>110000</v>
      </c>
      <c r="E43" s="61">
        <f>SUM(E44:E46)</f>
        <v>122000</v>
      </c>
      <c r="F43" s="61">
        <f>SUM(F44:F46)</f>
        <v>203000</v>
      </c>
      <c r="G43" s="61">
        <f>SUM(G44:G46)</f>
        <v>122000</v>
      </c>
      <c r="H43" s="61">
        <f>SUM(H44:H46)</f>
        <v>83000</v>
      </c>
      <c r="I43" s="61">
        <f>SUM(I44:I46)</f>
        <v>253000</v>
      </c>
      <c r="J43" s="61">
        <f>SUM(J44:J46)</f>
        <v>118000</v>
      </c>
      <c r="K43" s="61">
        <f>SUM(K44:K46)</f>
        <v>106000</v>
      </c>
      <c r="L43" s="61">
        <f>SUM(L44:L46)</f>
        <v>224000</v>
      </c>
      <c r="M43" s="61">
        <f>SUM(M44:M46)</f>
        <v>108000</v>
      </c>
      <c r="N43" s="61">
        <f>SUM(N44:N46)</f>
        <v>119000</v>
      </c>
      <c r="O43" s="61">
        <f>SUM(O44:O46)</f>
        <v>317000</v>
      </c>
      <c r="P43" s="61">
        <f>SUM(P44:P46)</f>
        <v>1885000</v>
      </c>
      <c r="Q43" s="61">
        <f>C43*Старт!$D$22</f>
        <v>1800000</v>
      </c>
      <c r="R43" s="61">
        <f>Q43-P43</f>
        <v>-85000</v>
      </c>
      <c r="S43" s="62">
        <f>IF(Q43=0,0,P43/Q43)</f>
        <v>1.04722222222222</v>
      </c>
    </row>
    <row r="44">
      <c r="B44" s="63" t="inlineStr">
        <is>
          <t>Подарки</t>
        </is>
      </c>
      <c r="C44" s="64" t="n">
        <v>50000</v>
      </c>
      <c r="D44" s="64" t="n">
        <v>32000</v>
      </c>
      <c r="E44" s="64" t="n">
        <v>28000</v>
      </c>
      <c r="F44" s="64" t="n">
        <v>140000</v>
      </c>
      <c r="G44" s="64" t="n">
        <v>32000</v>
      </c>
      <c r="H44" s="64" t="n">
        <v>22000</v>
      </c>
      <c r="I44" s="64" t="n">
        <v>33000</v>
      </c>
      <c r="J44" s="64" t="n">
        <v>39000</v>
      </c>
      <c r="K44" s="64" t="n">
        <v>37000</v>
      </c>
      <c r="L44" s="64" t="n">
        <v>34000</v>
      </c>
      <c r="M44" s="64" t="n">
        <v>28000</v>
      </c>
      <c r="N44" s="64" t="n">
        <v>34000</v>
      </c>
      <c r="O44" s="64" t="n">
        <v>220000</v>
      </c>
      <c r="P44" s="65">
        <f>SUM(D44:O44)</f>
        <v>679000</v>
      </c>
      <c r="Q44" s="65">
        <f>C44*Старт!$D$22</f>
        <v>600000</v>
      </c>
      <c r="R44" s="65">
        <f>Q44-P44</f>
        <v>-79000</v>
      </c>
      <c r="S44" s="66">
        <f>IF(Q44=0,0,P44/Q44)</f>
        <v>1.13166666666667</v>
      </c>
    </row>
    <row r="45">
      <c r="B45" s="63" t="inlineStr">
        <is>
          <t>Тои и праздники</t>
        </is>
      </c>
      <c r="C45" s="64" t="n">
        <v>60000</v>
      </c>
      <c r="D45" s="64" t="n">
        <v>38000</v>
      </c>
      <c r="E45" s="64" t="n">
        <v>54000</v>
      </c>
      <c r="F45" s="64" t="n">
        <v>23000</v>
      </c>
      <c r="G45" s="64" t="n">
        <v>50000</v>
      </c>
      <c r="H45" s="64" t="n">
        <v>21000</v>
      </c>
      <c r="I45" s="64" t="n">
        <v>180000</v>
      </c>
      <c r="J45" s="64" t="n">
        <v>39000</v>
      </c>
      <c r="K45" s="64" t="n">
        <v>29000</v>
      </c>
      <c r="L45" s="64" t="n">
        <v>150000</v>
      </c>
      <c r="M45" s="64" t="n">
        <v>40000</v>
      </c>
      <c r="N45" s="64" t="n">
        <v>45000</v>
      </c>
      <c r="O45" s="64" t="n">
        <v>57000</v>
      </c>
      <c r="P45" s="65">
        <f>SUM(D45:O45)</f>
        <v>726000</v>
      </c>
      <c r="Q45" s="65">
        <f>C45*Старт!$D$22</f>
        <v>720000</v>
      </c>
      <c r="R45" s="65">
        <f>Q45-P45</f>
        <v>-6000</v>
      </c>
      <c r="S45" s="66">
        <f>IF(Q45=0,0,P45/Q45)</f>
        <v>1.00833333333333</v>
      </c>
    </row>
    <row r="46">
      <c r="B46" s="63" t="inlineStr">
        <is>
          <t>Благотворительность</t>
        </is>
      </c>
      <c r="C46" s="64" t="n">
        <v>40000</v>
      </c>
      <c r="D46" s="64" t="n">
        <v>40000</v>
      </c>
      <c r="E46" s="64" t="n">
        <v>40000</v>
      </c>
      <c r="F46" s="64" t="n">
        <v>40000</v>
      </c>
      <c r="G46" s="64" t="n">
        <v>40000</v>
      </c>
      <c r="H46" s="64" t="n">
        <v>40000</v>
      </c>
      <c r="I46" s="64" t="n">
        <v>40000</v>
      </c>
      <c r="J46" s="64" t="n">
        <v>40000</v>
      </c>
      <c r="K46" s="64" t="n">
        <v>40000</v>
      </c>
      <c r="L46" s="64" t="n">
        <v>40000</v>
      </c>
      <c r="M46" s="64" t="n">
        <v>40000</v>
      </c>
      <c r="N46" s="64" t="n">
        <v>40000</v>
      </c>
      <c r="O46" s="64" t="n">
        <v>40000</v>
      </c>
      <c r="P46" s="65">
        <f>SUM(D46:O46)</f>
        <v>480000</v>
      </c>
      <c r="Q46" s="65">
        <f>C46*Старт!$D$22</f>
        <v>480000</v>
      </c>
      <c r="R46" s="65">
        <f>Q46-P46</f>
        <v>0</v>
      </c>
      <c r="S46" s="66">
        <f>IF(Q46=0,0,P46/Q46)</f>
        <v>1</v>
      </c>
    </row>
    <row r="47" ht="20" customHeight="1">
      <c r="B47" s="61" t="inlineStr">
        <is>
          <t>КРЕДИТЫ</t>
        </is>
      </c>
      <c r="C47" s="61">
        <f>SUM(C48:C50)</f>
        <v>280000</v>
      </c>
      <c r="D47" s="61">
        <f>SUM(D48:D50)</f>
        <v>280000</v>
      </c>
      <c r="E47" s="61">
        <f>SUM(E48:E50)</f>
        <v>280000</v>
      </c>
      <c r="F47" s="61">
        <f>SUM(F48:F50)</f>
        <v>280000</v>
      </c>
      <c r="G47" s="61">
        <f>SUM(G48:G50)</f>
        <v>280000</v>
      </c>
      <c r="H47" s="61">
        <f>SUM(H48:H50)</f>
        <v>280000</v>
      </c>
      <c r="I47" s="61">
        <f>SUM(I48:I50)</f>
        <v>280000</v>
      </c>
      <c r="J47" s="61">
        <f>SUM(J48:J50)</f>
        <v>430000</v>
      </c>
      <c r="K47" s="61">
        <f>SUM(K48:K50)</f>
        <v>280000</v>
      </c>
      <c r="L47" s="61">
        <f>SUM(L48:L50)</f>
        <v>280000</v>
      </c>
      <c r="M47" s="61">
        <f>SUM(M48:M50)</f>
        <v>240000</v>
      </c>
      <c r="N47" s="61">
        <f>SUM(N48:N50)</f>
        <v>240000</v>
      </c>
      <c r="O47" s="61">
        <f>SUM(O48:O50)</f>
        <v>240000</v>
      </c>
      <c r="P47" s="61">
        <f>SUM(P48:P50)</f>
        <v>3390000</v>
      </c>
      <c r="Q47" s="61">
        <f>C47*Старт!$D$22</f>
        <v>3360000</v>
      </c>
      <c r="R47" s="61">
        <f>Q47-P47</f>
        <v>-30000</v>
      </c>
      <c r="S47" s="62">
        <f>IF(Q47=0,0,P47/Q47)</f>
        <v>1.00892857142857</v>
      </c>
    </row>
    <row r="48">
      <c r="B48" s="63" t="inlineStr">
        <is>
          <t>Автокредит</t>
        </is>
      </c>
      <c r="C48" s="64" t="n">
        <v>180000</v>
      </c>
      <c r="D48" s="64" t="n">
        <v>180000</v>
      </c>
      <c r="E48" s="64" t="n">
        <v>180000</v>
      </c>
      <c r="F48" s="64" t="n">
        <v>180000</v>
      </c>
      <c r="G48" s="64" t="n">
        <v>180000</v>
      </c>
      <c r="H48" s="64" t="n">
        <v>180000</v>
      </c>
      <c r="I48" s="64" t="n">
        <v>180000</v>
      </c>
      <c r="J48" s="64" t="n">
        <v>180000</v>
      </c>
      <c r="K48" s="64" t="n">
        <v>180000</v>
      </c>
      <c r="L48" s="64" t="n">
        <v>180000</v>
      </c>
      <c r="M48" s="64" t="n">
        <v>180000</v>
      </c>
      <c r="N48" s="64" t="n">
        <v>180000</v>
      </c>
      <c r="O48" s="64" t="n">
        <v>180000</v>
      </c>
      <c r="P48" s="65">
        <f>SUM(D48:O48)</f>
        <v>2160000</v>
      </c>
      <c r="Q48" s="65">
        <f>C48*Старт!$D$22</f>
        <v>2160000</v>
      </c>
      <c r="R48" s="65">
        <f>Q48-P48</f>
        <v>0</v>
      </c>
      <c r="S48" s="66">
        <f>IF(Q48=0,0,P48/Q48)</f>
        <v>1</v>
      </c>
    </row>
    <row r="49">
      <c r="B49" s="63" t="inlineStr">
        <is>
          <t>Рассрочки</t>
        </is>
      </c>
      <c r="C49" s="64" t="n">
        <v>100000</v>
      </c>
      <c r="D49" s="64" t="n">
        <v>100000</v>
      </c>
      <c r="E49" s="64" t="n">
        <v>100000</v>
      </c>
      <c r="F49" s="64" t="n">
        <v>100000</v>
      </c>
      <c r="G49" s="64" t="n">
        <v>100000</v>
      </c>
      <c r="H49" s="64" t="n">
        <v>100000</v>
      </c>
      <c r="I49" s="64" t="n">
        <v>100000</v>
      </c>
      <c r="J49" s="64" t="n">
        <v>100000</v>
      </c>
      <c r="K49" s="64" t="n">
        <v>100000</v>
      </c>
      <c r="L49" s="64" t="n">
        <v>100000</v>
      </c>
      <c r="M49" s="64" t="n">
        <v>60000</v>
      </c>
      <c r="N49" s="64" t="n">
        <v>60000</v>
      </c>
      <c r="O49" s="64" t="n">
        <v>60000</v>
      </c>
      <c r="P49" s="65">
        <f>SUM(D49:O49)</f>
        <v>1080000</v>
      </c>
      <c r="Q49" s="65">
        <f>C49*Старт!$D$22</f>
        <v>1200000</v>
      </c>
      <c r="R49" s="65">
        <f>Q49-P49</f>
        <v>120000</v>
      </c>
      <c r="S49" s="66">
        <f>IF(Q49=0,0,P49/Q49)</f>
        <v>0.9</v>
      </c>
    </row>
    <row r="50">
      <c r="B50" s="63" t="inlineStr">
        <is>
          <t>Кредитная карта</t>
        </is>
      </c>
      <c r="C50" s="64" t="n">
        <v>0</v>
      </c>
      <c r="D50" s="64" t="n">
        <v>0</v>
      </c>
      <c r="E50" s="64" t="n">
        <v>0</v>
      </c>
      <c r="F50" s="64" t="n">
        <v>0</v>
      </c>
      <c r="G50" s="64" t="n">
        <v>0</v>
      </c>
      <c r="H50" s="64" t="n">
        <v>0</v>
      </c>
      <c r="I50" s="64" t="n">
        <v>0</v>
      </c>
      <c r="J50" s="64" t="n">
        <v>150000</v>
      </c>
      <c r="K50" s="64" t="n">
        <v>0</v>
      </c>
      <c r="L50" s="64" t="n">
        <v>0</v>
      </c>
      <c r="M50" s="64" t="n">
        <v>0</v>
      </c>
      <c r="N50" s="64" t="n">
        <v>0</v>
      </c>
      <c r="O50" s="64" t="n">
        <v>0</v>
      </c>
      <c r="P50" s="65">
        <f>SUM(D50:O50)</f>
        <v>150000</v>
      </c>
      <c r="Q50" s="65">
        <f>C50*Старт!$D$22</f>
        <v>0</v>
      </c>
      <c r="R50" s="65">
        <f>Q50-P50</f>
        <v>-150000</v>
      </c>
      <c r="S50" s="66">
        <f>IF(Q50=0,0,P50/Q50)</f>
        <v>0</v>
      </c>
    </row>
    <row r="51" ht="20" customHeight="1">
      <c r="B51" s="61" t="inlineStr">
        <is>
          <t>ПРОЧЕЕ</t>
        </is>
      </c>
      <c r="C51" s="61">
        <f>SUM(C52:C54)</f>
        <v>43000</v>
      </c>
      <c r="D51" s="61">
        <f>SUM(D52:D54)</f>
        <v>15000</v>
      </c>
      <c r="E51" s="61">
        <f>SUM(E52:E54)</f>
        <v>7000</v>
      </c>
      <c r="F51" s="61">
        <f>SUM(F52:F54)</f>
        <v>17000</v>
      </c>
      <c r="G51" s="61">
        <f>SUM(G52:G54)</f>
        <v>114000</v>
      </c>
      <c r="H51" s="61">
        <f>SUM(H52:H54)</f>
        <v>13000</v>
      </c>
      <c r="I51" s="61">
        <f>SUM(I52:I54)</f>
        <v>12000</v>
      </c>
      <c r="J51" s="61">
        <f>SUM(J52:J54)</f>
        <v>36000</v>
      </c>
      <c r="K51" s="61">
        <f>SUM(K52:K54)</f>
        <v>28000</v>
      </c>
      <c r="L51" s="61">
        <f>SUM(L52:L54)</f>
        <v>21000</v>
      </c>
      <c r="M51" s="61">
        <f>SUM(M52:M54)</f>
        <v>76000</v>
      </c>
      <c r="N51" s="61">
        <f>SUM(N52:N54)</f>
        <v>17000</v>
      </c>
      <c r="O51" s="61">
        <f>SUM(O52:O54)</f>
        <v>28000</v>
      </c>
      <c r="P51" s="61">
        <f>SUM(P52:P54)</f>
        <v>384000</v>
      </c>
      <c r="Q51" s="61">
        <f>C51*Старт!$D$22</f>
        <v>516000</v>
      </c>
      <c r="R51" s="61">
        <f>Q51-P51</f>
        <v>132000</v>
      </c>
      <c r="S51" s="62">
        <f>IF(Q51=0,0,P51/Q51)</f>
        <v>0.744186046511628</v>
      </c>
    </row>
    <row r="52">
      <c r="B52" s="63" t="inlineStr">
        <is>
          <t>Налоги и сборы (личные)</t>
        </is>
      </c>
      <c r="C52" s="64" t="n">
        <v>10000</v>
      </c>
      <c r="D52" s="64" t="n">
        <v>0</v>
      </c>
      <c r="E52" s="64" t="n">
        <v>0</v>
      </c>
      <c r="F52" s="64" t="n">
        <v>0</v>
      </c>
      <c r="G52" s="64" t="n">
        <v>85000</v>
      </c>
      <c r="H52" s="64" t="n">
        <v>0</v>
      </c>
      <c r="I52" s="64" t="n">
        <v>0</v>
      </c>
      <c r="J52" s="64" t="n">
        <v>0</v>
      </c>
      <c r="K52" s="64" t="n">
        <v>0</v>
      </c>
      <c r="L52" s="64" t="n">
        <v>0</v>
      </c>
      <c r="M52" s="64" t="n">
        <v>40000</v>
      </c>
      <c r="N52" s="64" t="n">
        <v>0</v>
      </c>
      <c r="O52" s="64" t="n">
        <v>0</v>
      </c>
      <c r="P52" s="65">
        <f>SUM(D52:O52)</f>
        <v>125000</v>
      </c>
      <c r="Q52" s="65">
        <f>C52*Старт!$D$22</f>
        <v>120000</v>
      </c>
      <c r="R52" s="65">
        <f>Q52-P52</f>
        <v>-5000</v>
      </c>
      <c r="S52" s="66">
        <f>IF(Q52=0,0,P52/Q52)</f>
        <v>1.04166666666667</v>
      </c>
    </row>
    <row r="53">
      <c r="B53" s="63" t="inlineStr">
        <is>
          <t>Комиссии банков</t>
        </is>
      </c>
      <c r="C53" s="64" t="n">
        <v>3000</v>
      </c>
      <c r="D53" s="64" t="n">
        <v>3000</v>
      </c>
      <c r="E53" s="64" t="n">
        <v>3000</v>
      </c>
      <c r="F53" s="64" t="n">
        <v>3000</v>
      </c>
      <c r="G53" s="64" t="n">
        <v>3000</v>
      </c>
      <c r="H53" s="64" t="n">
        <v>3000</v>
      </c>
      <c r="I53" s="64" t="n">
        <v>3000</v>
      </c>
      <c r="J53" s="64" t="n">
        <v>3000</v>
      </c>
      <c r="K53" s="64" t="n">
        <v>3000</v>
      </c>
      <c r="L53" s="64" t="n">
        <v>3000</v>
      </c>
      <c r="M53" s="64" t="n">
        <v>3000</v>
      </c>
      <c r="N53" s="64" t="n">
        <v>3000</v>
      </c>
      <c r="O53" s="64" t="n">
        <v>3000</v>
      </c>
      <c r="P53" s="65">
        <f>SUM(D53:O53)</f>
        <v>36000</v>
      </c>
      <c r="Q53" s="65">
        <f>C53*Старт!$D$22</f>
        <v>36000</v>
      </c>
      <c r="R53" s="65">
        <f>Q53-P53</f>
        <v>0</v>
      </c>
      <c r="S53" s="66">
        <f>IF(Q53=0,0,P53/Q53)</f>
        <v>1</v>
      </c>
    </row>
    <row r="54">
      <c r="B54" s="63" t="inlineStr">
        <is>
          <t>Непредвиденное</t>
        </is>
      </c>
      <c r="C54" s="64" t="n">
        <v>30000</v>
      </c>
      <c r="D54" s="64" t="n">
        <v>12000</v>
      </c>
      <c r="E54" s="64" t="n">
        <v>4000</v>
      </c>
      <c r="F54" s="64" t="n">
        <v>14000</v>
      </c>
      <c r="G54" s="64" t="n">
        <v>26000</v>
      </c>
      <c r="H54" s="64" t="n">
        <v>10000</v>
      </c>
      <c r="I54" s="64" t="n">
        <v>9000</v>
      </c>
      <c r="J54" s="64" t="n">
        <v>33000</v>
      </c>
      <c r="K54" s="64" t="n">
        <v>25000</v>
      </c>
      <c r="L54" s="64" t="n">
        <v>18000</v>
      </c>
      <c r="M54" s="64" t="n">
        <v>33000</v>
      </c>
      <c r="N54" s="64" t="n">
        <v>14000</v>
      </c>
      <c r="O54" s="64" t="n">
        <v>25000</v>
      </c>
      <c r="P54" s="65">
        <f>SUM(D54:O54)</f>
        <v>223000</v>
      </c>
      <c r="Q54" s="65">
        <f>C54*Старт!$D$22</f>
        <v>360000</v>
      </c>
      <c r="R54" s="65">
        <f>Q54-P54</f>
        <v>137000</v>
      </c>
      <c r="S54" s="66">
        <f>IF(Q54=0,0,P54/Q54)</f>
        <v>0.619444444444445</v>
      </c>
    </row>
    <row r="55" ht="22" customHeight="1">
      <c r="B55" s="67" t="inlineStr">
        <is>
          <t>ИТОГО РАСХОДЫ</t>
        </is>
      </c>
      <c r="C55" s="67">
        <f>C8+C13+C17+C22+C27+C32+C35+C39+C43+C47+C51</f>
        <v>2246000</v>
      </c>
      <c r="D55" s="67">
        <f>D8+D13+D17+D22+D27+D32+D35+D39+D43+D47+D51</f>
        <v>2116000</v>
      </c>
      <c r="E55" s="67">
        <f>E8+E13+E17+E22+E27+E32+E35+E39+E43+E47+E51</f>
        <v>2135000</v>
      </c>
      <c r="F55" s="67">
        <f>F8+F13+F17+F22+F27+F32+F35+F39+F43+F47+F51</f>
        <v>2688000</v>
      </c>
      <c r="G55" s="67">
        <f>G8+G13+G17+G22+G27+G32+G35+G39+G43+G47+G51</f>
        <v>2104000</v>
      </c>
      <c r="H55" s="67">
        <f>H8+H13+H17+H22+H27+H32+H35+H39+H43+H47+H51</f>
        <v>1991000</v>
      </c>
      <c r="I55" s="67">
        <f>I8+I13+I17+I22+I27+I32+I35+I39+I43+I47+I51</f>
        <v>1989000</v>
      </c>
      <c r="J55" s="67">
        <f>J8+J13+J17+J22+J27+J32+J35+J39+J43+J47+J51</f>
        <v>2940000</v>
      </c>
      <c r="K55" s="67">
        <f>K8+K13+K17+K22+K27+K32+K35+K39+K43+K47+K51</f>
        <v>1647000</v>
      </c>
      <c r="L55" s="67">
        <f>L8+L13+L17+L22+L27+L32+L35+L39+L43+L47+L51</f>
        <v>2514000</v>
      </c>
      <c r="M55" s="67">
        <f>M8+M13+M17+M22+M27+M32+M35+M39+M43+M47+M51</f>
        <v>1959000</v>
      </c>
      <c r="N55" s="67">
        <f>N8+N13+N17+N22+N27+N32+N35+N39+N43+N47+N51</f>
        <v>1925000</v>
      </c>
      <c r="O55" s="67">
        <f>O8+O13+O17+O22+O27+O32+O35+O39+O43+O47+O51</f>
        <v>2473000</v>
      </c>
      <c r="P55" s="67">
        <f>P8+P13+P17+P22+P27+P32+P35+P39+P43+P47+P51</f>
        <v>26481000</v>
      </c>
      <c r="Q55" s="67">
        <f>C55*Старт!$D$22</f>
        <v>26952000</v>
      </c>
      <c r="R55" s="67">
        <f>Q55-P55</f>
        <v>471000</v>
      </c>
      <c r="S55" s="68">
        <f>IF(Q55=0,0,P55/Q55)</f>
        <v>0.982524487978629</v>
      </c>
    </row>
    <row r="56">
      <c r="B56" s="69" t="inlineStr">
        <is>
          <t>Бюджет месяца</t>
        </is>
      </c>
      <c r="C56" s="70" t="n"/>
      <c r="D56" s="70">
        <f>$C$55</f>
        <v>2246000</v>
      </c>
      <c r="E56" s="70">
        <f>$C$55</f>
        <v>2246000</v>
      </c>
      <c r="F56" s="70">
        <f>$C$55</f>
        <v>2246000</v>
      </c>
      <c r="G56" s="70">
        <f>$C$55</f>
        <v>2246000</v>
      </c>
      <c r="H56" s="70">
        <f>$C$55</f>
        <v>2246000</v>
      </c>
      <c r="I56" s="70">
        <f>$C$55</f>
        <v>2246000</v>
      </c>
      <c r="J56" s="70">
        <f>$C$55</f>
        <v>2246000</v>
      </c>
      <c r="K56" s="70">
        <f>$C$55</f>
        <v>2246000</v>
      </c>
      <c r="L56" s="70">
        <f>$C$55</f>
        <v>2246000</v>
      </c>
      <c r="M56" s="70">
        <f>$C$55</f>
        <v>2246000</v>
      </c>
      <c r="N56" s="70">
        <f>$C$55</f>
        <v>2246000</v>
      </c>
      <c r="O56" s="70">
        <f>$C$55</f>
        <v>2246000</v>
      </c>
      <c r="P56" s="70">
        <f>SUMPRODUCT((D55:O55&gt;0)*D56:O56)</f>
        <v>26952000</v>
      </c>
      <c r="Q56" s="70" t="n"/>
      <c r="R56" s="70" t="n"/>
      <c r="S56" s="70" t="n"/>
    </row>
    <row r="57">
      <c r="B57" s="71" t="inlineStr">
        <is>
          <t>Отклонение: бюджет минус факт</t>
        </is>
      </c>
      <c r="C57" s="72" t="n"/>
      <c r="D57" s="72">
        <f>IF(D55=0,0,D56-D55)</f>
        <v>130000</v>
      </c>
      <c r="E57" s="72">
        <f>IF(E55=0,0,E56-E55)</f>
        <v>111000</v>
      </c>
      <c r="F57" s="72">
        <f>IF(F55=0,0,F56-F55)</f>
        <v>-442000</v>
      </c>
      <c r="G57" s="72">
        <f>IF(G55=0,0,G56-G55)</f>
        <v>142000</v>
      </c>
      <c r="H57" s="72">
        <f>IF(H55=0,0,H56-H55)</f>
        <v>255000</v>
      </c>
      <c r="I57" s="72">
        <f>IF(I55=0,0,I56-I55)</f>
        <v>257000</v>
      </c>
      <c r="J57" s="72">
        <f>IF(J55=0,0,J56-J55)</f>
        <v>-694000</v>
      </c>
      <c r="K57" s="72">
        <f>IF(K55=0,0,K56-K55)</f>
        <v>599000</v>
      </c>
      <c r="L57" s="72">
        <f>IF(L55=0,0,L56-L55)</f>
        <v>-268000</v>
      </c>
      <c r="M57" s="72">
        <f>IF(M55=0,0,M56-M55)</f>
        <v>287000</v>
      </c>
      <c r="N57" s="72">
        <f>IF(N55=0,0,N56-N55)</f>
        <v>321000</v>
      </c>
      <c r="O57" s="72">
        <f>IF(O55=0,0,O56-O55)</f>
        <v>-227000</v>
      </c>
      <c r="P57" s="72">
        <f>P56-P55</f>
        <v>471000</v>
      </c>
      <c r="Q57" s="72" t="n"/>
      <c r="R57" s="72" t="n"/>
      <c r="S57" s="72" t="n"/>
    </row>
    <row r="59">
      <c r="B59" s="9" t="inlineStr">
        <is>
          <t>Красным подсвечены месяцы, где итог группы больше бюджета группы, и статьи с перерасходом за период.</t>
        </is>
      </c>
    </row>
    <row r="60">
      <c r="B60" s="9" t="inlineStr">
        <is>
          <t>Кредиты: впишите сюда ежемесячные платежи. Остатки долгов и рассрочек ведите на листе Капитал.</t>
        </is>
      </c>
    </row>
    <row r="61">
      <c r="B61" s="9" t="inlineStr">
        <is>
          <t>Переименовать статью можно прямо в колонке B. Новую статью удобнее вписать вместо ненужной, чтобы не ломать итоги.</t>
        </is>
      </c>
    </row>
    <row r="63">
      <c r="B63" s="31" t="inlineStr">
        <is>
          <t>© Business Surgery · bxclub.kz</t>
        </is>
      </c>
      <c r="C63" s="32" t="n"/>
      <c r="D63" s="32" t="n"/>
      <c r="E63" s="32" t="n"/>
      <c r="F63" s="32" t="n"/>
      <c r="G63" s="32" t="n"/>
      <c r="H63" s="32" t="n"/>
      <c r="I63" s="32" t="n"/>
      <c r="J63" s="32" t="n"/>
      <c r="K63" s="32" t="n"/>
      <c r="L63" s="32" t="n"/>
      <c r="M63" s="32" t="n"/>
      <c r="N63" s="32" t="n"/>
      <c r="O63" s="32" t="n"/>
      <c r="P63" s="32" t="n"/>
      <c r="Q63" s="32" t="n"/>
      <c r="R63" s="32" t="n"/>
      <c r="S63" s="33" t="inlineStr">
        <is>
          <t>Шаблон для резидентов клуба</t>
        </is>
      </c>
    </row>
  </sheetData>
  <conditionalFormatting sqref="D57:P57">
    <cfRule type="cellIs" priority="1" operator="lessThan" dxfId="0">
      <formula>0</formula>
    </cfRule>
  </conditionalFormatting>
  <conditionalFormatting sqref="D8:O8">
    <cfRule type="expression" priority="2" dxfId="0">
      <formula>AND($C8&gt;0,D8&gt;$C8)</formula>
    </cfRule>
  </conditionalFormatting>
  <conditionalFormatting sqref="D13:O13">
    <cfRule type="expression" priority="3" dxfId="0">
      <formula>AND($C13&gt;0,D13&gt;$C13)</formula>
    </cfRule>
  </conditionalFormatting>
  <conditionalFormatting sqref="D17:O17">
    <cfRule type="expression" priority="4" dxfId="0">
      <formula>AND($C17&gt;0,D17&gt;$C17)</formula>
    </cfRule>
  </conditionalFormatting>
  <conditionalFormatting sqref="D22:O22">
    <cfRule type="expression" priority="5" dxfId="0">
      <formula>AND($C22&gt;0,D22&gt;$C22)</formula>
    </cfRule>
  </conditionalFormatting>
  <conditionalFormatting sqref="D27:O27">
    <cfRule type="expression" priority="6" dxfId="0">
      <formula>AND($C27&gt;0,D27&gt;$C27)</formula>
    </cfRule>
  </conditionalFormatting>
  <conditionalFormatting sqref="D32:O32">
    <cfRule type="expression" priority="7" dxfId="0">
      <formula>AND($C32&gt;0,D32&gt;$C32)</formula>
    </cfRule>
  </conditionalFormatting>
  <conditionalFormatting sqref="D35:O35">
    <cfRule type="expression" priority="8" dxfId="0">
      <formula>AND($C35&gt;0,D35&gt;$C35)</formula>
    </cfRule>
  </conditionalFormatting>
  <conditionalFormatting sqref="D39:O39">
    <cfRule type="expression" priority="9" dxfId="0">
      <formula>AND($C39&gt;0,D39&gt;$C39)</formula>
    </cfRule>
  </conditionalFormatting>
  <conditionalFormatting sqref="D43:O43">
    <cfRule type="expression" priority="10" dxfId="0">
      <formula>AND($C43&gt;0,D43&gt;$C43)</formula>
    </cfRule>
  </conditionalFormatting>
  <conditionalFormatting sqref="D47:O47">
    <cfRule type="expression" priority="11" dxfId="0">
      <formula>AND($C47&gt;0,D47&gt;$C47)</formula>
    </cfRule>
  </conditionalFormatting>
  <conditionalFormatting sqref="D51:O51">
    <cfRule type="expression" priority="12" dxfId="0">
      <formula>AND($C51&gt;0,D51&gt;$C51)</formula>
    </cfRule>
  </conditionalFormatting>
  <conditionalFormatting sqref="D55:O55">
    <cfRule type="expression" priority="13" dxfId="0">
      <formula>AND($C55&gt;0,D55&gt;$C55)</formula>
    </cfRule>
  </conditionalFormatting>
  <conditionalFormatting sqref="R8:R55">
    <cfRule type="cellIs" priority="14" operator="lessThan" dxfId="0">
      <formula>0</formula>
    </cfRule>
  </conditionalFormatting>
  <conditionalFormatting sqref="S8:S55">
    <cfRule type="cellIs" priority="15" operator="greaterThan" dxfId="0">
      <formula>1</formula>
    </cfRule>
  </conditionalFormatting>
  <dataValidations count="1">
    <dataValidation sqref="C9:O9 C10:O10 C11:O11 C12:O12 C14:O14 C15:O15 C16:O16 C18:O18 C19:O19 C20:O20 C21:O21 C23:O23 C24:O24 C25:O25 C26:O26 C28:O28 C29:O29 C30:O30 C31:O31 C33:O33 C34:O34 C36:O36 C37:O37 C38:O38 C40:O40 C41:O41 C42:O42 C44:O44 C45:O45 C46:O46 C48:O48 C49:O49 C50:O50 C52:O52 C53:O53 C54:O54" showDropDown="0" showInputMessage="0" showErrorMessage="1" allowBlank="1" errorTitle="Сумма" error="Введите сумму в тенге, 0 или больше. Возврат лучше вычесть из суммы месяца." type="decimal" operator="greaterThanOrEqual">
      <formula1>0</formula1>
    </dataValidation>
  </dataValidations>
  <printOptions horizontalCentered="1"/>
  <pageMargins left="0.4" right="0.4" top="0.6" bottom="0.6" header="0.5" footer="0.5"/>
  <pageSetup orientation="landscape" paperSize="9" fitToHeight="1" fitToWidth="1"/>
  <headerFooter differentFirst="1">
    <oddHeader/>
    <oddFooter>&amp;L&amp;"Arial"&amp;8 © Business Surgery · bxclub.kz&amp;R&amp;"Arial"&amp;8 стр. &amp;P из &amp;N</oddFooter>
    <evenHeader/>
    <evenFooter/>
    <firstHeader/>
    <firstFooter>&amp;L&amp;"Arial"&amp;8 © Business Surgery · bxclub.kz&amp;R&amp;"Arial"&amp;8 стр. &amp;P из &amp;N</firstFooter>
  </headerFooter>
</worksheet>
</file>

<file path=xl/worksheets/sheet5.xml><?xml version="1.0" encoding="utf-8"?>
<worksheet xmlns="http://schemas.openxmlformats.org/spreadsheetml/2006/main">
  <sheetPr>
    <tabColor rgb="00000000"/>
    <outlinePr summaryBelow="1" summaryRight="1"/>
    <pageSetUpPr fitToPage="1"/>
  </sheetPr>
  <dimension ref="A1:Q55"/>
  <sheetViews>
    <sheetView showGridLines="0" tabSelected="0" zoomScale="9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34" customWidth="1" min="2" max="2"/>
    <col width="9" customWidth="1" min="3" max="3"/>
    <col width="14.5" customWidth="1" min="4" max="4"/>
    <col width="14.5" customWidth="1" min="5" max="5"/>
    <col width="14.5" customWidth="1" min="6" max="6"/>
    <col width="14.5" customWidth="1" min="7" max="7"/>
    <col width="14.5" customWidth="1" min="8" max="8"/>
    <col width="14.5" customWidth="1" min="9" max="9"/>
    <col width="14.5" customWidth="1" min="10" max="10"/>
    <col width="14.5" customWidth="1" min="11" max="11"/>
    <col width="14.5" customWidth="1" min="12" max="12"/>
    <col width="14.5" customWidth="1" min="13" max="13"/>
    <col width="14.5" customWidth="1" min="14" max="14"/>
    <col width="14.5" customWidth="1" min="15" max="15"/>
    <col width="14.5" customWidth="1" min="16" max="16"/>
    <col width="9" customWidth="1" min="17" max="17"/>
  </cols>
  <sheetData>
    <row r="1" ht="30" customHeight="1">
      <c r="A1" s="1" t="n"/>
      <c r="B1" s="2" t="inlineStr">
        <is>
          <t>BUSINESS SURGERY · Личный финансовый план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3" t="str">
        <f>IF(Старт!$D$15="","",Старт!$D$15&amp;"  ·  ")&amp;Старт!$D$16&amp;" год"</f>
        <v>Ваше имя  ·  2026 год</v>
      </c>
    </row>
    <row r="2" ht="10" customHeight="1"/>
    <row r="3" ht="32" customHeight="1">
      <c r="B3" s="5" t="inlineStr">
        <is>
          <t>Капитал</t>
        </is>
      </c>
    </row>
    <row r="4">
      <c r="B4" s="6" t="inlineStr">
        <is>
          <t>ДДС активов: остатки на конец каждого месяца. Валютные строки вводите в $, пересчёт в тенге по курсу месяца</t>
        </is>
      </c>
    </row>
    <row r="5" ht="10" customHeight="1"/>
    <row r="7" ht="30" customHeight="1">
      <c r="B7" s="59" t="inlineStr">
        <is>
          <t>Актив или долг</t>
        </is>
      </c>
      <c r="C7" s="60" t="inlineStr">
        <is>
          <t>Валюта</t>
        </is>
      </c>
      <c r="D7" s="60" t="inlineStr">
        <is>
          <t>Январь</t>
        </is>
      </c>
      <c r="E7" s="60" t="inlineStr">
        <is>
          <t>Февраль</t>
        </is>
      </c>
      <c r="F7" s="60" t="inlineStr">
        <is>
          <t>Март</t>
        </is>
      </c>
      <c r="G7" s="60" t="inlineStr">
        <is>
          <t>Апрель</t>
        </is>
      </c>
      <c r="H7" s="60" t="inlineStr">
        <is>
          <t>Май</t>
        </is>
      </c>
      <c r="I7" s="60" t="inlineStr">
        <is>
          <t>Июнь</t>
        </is>
      </c>
      <c r="J7" s="60" t="inlineStr">
        <is>
          <t>Июль</t>
        </is>
      </c>
      <c r="K7" s="60" t="inlineStr">
        <is>
          <t>Август</t>
        </is>
      </c>
      <c r="L7" s="60" t="inlineStr">
        <is>
          <t>Сентябрь</t>
        </is>
      </c>
      <c r="M7" s="60" t="inlineStr">
        <is>
          <t>Октябрь</t>
        </is>
      </c>
      <c r="N7" s="60" t="inlineStr">
        <is>
          <t>Ноябрь</t>
        </is>
      </c>
      <c r="O7" s="60" t="inlineStr">
        <is>
          <t>Декабрь</t>
        </is>
      </c>
      <c r="P7" s="60" t="inlineStr">
        <is>
          <t>Изм. с января</t>
        </is>
      </c>
      <c r="Q7" s="60" t="inlineStr">
        <is>
          <t>Доля в активах</t>
        </is>
      </c>
    </row>
    <row r="8">
      <c r="B8" s="6" t="inlineStr">
        <is>
          <t>Курс USD на конец месяца</t>
        </is>
      </c>
      <c r="C8" s="73" t="inlineStr">
        <is>
          <t>₸/$</t>
        </is>
      </c>
      <c r="D8" s="74">
        <f>Старт!$D$17</f>
        <v>505</v>
      </c>
      <c r="E8" s="74">
        <f>Старт!$D$17</f>
        <v>505</v>
      </c>
      <c r="F8" s="74">
        <f>Старт!$D$17</f>
        <v>505</v>
      </c>
      <c r="G8" s="74">
        <f>Старт!$D$17</f>
        <v>505</v>
      </c>
      <c r="H8" s="74">
        <f>Старт!$D$17</f>
        <v>505</v>
      </c>
      <c r="I8" s="74">
        <f>Старт!$D$17</f>
        <v>505</v>
      </c>
      <c r="J8" s="74">
        <f>Старт!$D$17</f>
        <v>505</v>
      </c>
      <c r="K8" s="74">
        <f>Старт!$D$17</f>
        <v>505</v>
      </c>
      <c r="L8" s="74">
        <f>Старт!$D$17</f>
        <v>505</v>
      </c>
      <c r="M8" s="74">
        <f>Старт!$D$17</f>
        <v>505</v>
      </c>
      <c r="N8" s="74">
        <f>Старт!$D$17</f>
        <v>505</v>
      </c>
      <c r="O8" s="74">
        <f>Старт!$D$17</f>
        <v>505</v>
      </c>
    </row>
    <row r="9" ht="20" customHeight="1">
      <c r="B9" s="61" t="inlineStr">
        <is>
          <t>ДЕНЬГИ</t>
        </is>
      </c>
      <c r="C9" s="61" t="n"/>
      <c r="D9" s="61">
        <f>SUMPRODUCT(D10:D14*(($C10:$C14="USD")*(D$8-1)+1))</f>
        <v>12019000</v>
      </c>
      <c r="E9" s="61">
        <f>SUMPRODUCT(E10:E14*(($C10:$C14="USD")*(E$8-1)+1))</f>
        <v>12846000</v>
      </c>
      <c r="F9" s="61">
        <f>SUMPRODUCT(F10:F14*(($C10:$C14="USD")*(F$8-1)+1))</f>
        <v>13852000</v>
      </c>
      <c r="G9" s="61">
        <f>SUMPRODUCT(G10:G14*(($C10:$C14="USD")*(G$8-1)+1))</f>
        <v>15452000</v>
      </c>
      <c r="H9" s="61">
        <f>SUMPRODUCT(H10:H14*(($C10:$C14="USD")*(H$8-1)+1))</f>
        <v>15911000</v>
      </c>
      <c r="I9" s="61">
        <f>SUMPRODUCT(I10:I14*(($C10:$C14="USD")*(I$8-1)+1))</f>
        <v>16171000</v>
      </c>
      <c r="J9" s="61">
        <f>SUMPRODUCT(J10:J14*(($C10:$C14="USD")*(J$8-1)+1))</f>
        <v>16314000</v>
      </c>
      <c r="K9" s="61">
        <f>SUMPRODUCT(K10:K14*(($C10:$C14="USD")*(K$8-1)+1))</f>
        <v>16638000</v>
      </c>
      <c r="L9" s="61">
        <f>SUMPRODUCT(L10:L14*(($C10:$C14="USD")*(L$8-1)+1))</f>
        <v>18100000</v>
      </c>
      <c r="M9" s="61">
        <f>SUMPRODUCT(M10:M14*(($C10:$C14="USD")*(M$8-1)+1))</f>
        <v>18979000</v>
      </c>
      <c r="N9" s="61">
        <f>SUMPRODUCT(N10:N14*(($C10:$C14="USD")*(N$8-1)+1))</f>
        <v>19798000</v>
      </c>
      <c r="O9" s="61">
        <f>SUMPRODUCT(O10:O14*(($C10:$C14="USD")*(O$8-1)+1))</f>
        <v>20340000</v>
      </c>
      <c r="P9" s="61">
        <f>O9-D9</f>
        <v>8321000</v>
      </c>
      <c r="Q9" s="62">
        <f>IF(O33=0,0,O9/O33)</f>
        <v>0.103756982171551</v>
      </c>
    </row>
    <row r="10">
      <c r="B10" s="63" t="inlineStr">
        <is>
          <t>Наличные</t>
        </is>
      </c>
      <c r="C10" s="75" t="inlineStr">
        <is>
          <t>₸</t>
        </is>
      </c>
      <c r="D10" s="64" t="n">
        <v>350000</v>
      </c>
      <c r="E10" s="64" t="n">
        <v>350000</v>
      </c>
      <c r="F10" s="64" t="n">
        <v>350000</v>
      </c>
      <c r="G10" s="64" t="n">
        <v>350000</v>
      </c>
      <c r="H10" s="64" t="n">
        <v>350000</v>
      </c>
      <c r="I10" s="64" t="n">
        <v>350000</v>
      </c>
      <c r="J10" s="64" t="n">
        <v>350000</v>
      </c>
      <c r="K10" s="64" t="n">
        <v>350000</v>
      </c>
      <c r="L10" s="64" t="n">
        <v>350000</v>
      </c>
      <c r="M10" s="64" t="n">
        <v>350000</v>
      </c>
      <c r="N10" s="64" t="n">
        <v>350000</v>
      </c>
      <c r="O10" s="64" t="n">
        <v>350000</v>
      </c>
      <c r="P10" s="70">
        <f>O10-D10</f>
        <v>0</v>
      </c>
    </row>
    <row r="11">
      <c r="B11" s="63" t="inlineStr">
        <is>
          <t>Наличные</t>
        </is>
      </c>
      <c r="C11" s="75" t="inlineStr">
        <is>
          <t>USD</t>
        </is>
      </c>
      <c r="D11" s="76" t="n">
        <v>3000</v>
      </c>
      <c r="E11" s="76" t="n">
        <v>3000</v>
      </c>
      <c r="F11" s="76" t="n">
        <v>3000</v>
      </c>
      <c r="G11" s="76" t="n">
        <v>3000</v>
      </c>
      <c r="H11" s="76" t="n">
        <v>3000</v>
      </c>
      <c r="I11" s="76" t="n">
        <v>3000</v>
      </c>
      <c r="J11" s="76" t="n">
        <v>2000</v>
      </c>
      <c r="K11" s="76" t="n">
        <v>2000</v>
      </c>
      <c r="L11" s="76" t="n">
        <v>2000</v>
      </c>
      <c r="M11" s="76" t="n">
        <v>2000</v>
      </c>
      <c r="N11" s="76" t="n">
        <v>2000</v>
      </c>
      <c r="O11" s="76" t="n">
        <v>2000</v>
      </c>
      <c r="P11" s="77">
        <f>O11-D11</f>
        <v>-1000</v>
      </c>
    </row>
    <row r="12">
      <c r="B12" s="63" t="inlineStr">
        <is>
          <t>Текущие счета и карты</t>
        </is>
      </c>
      <c r="C12" s="75" t="inlineStr">
        <is>
          <t>₸</t>
        </is>
      </c>
      <c r="D12" s="64" t="n">
        <v>1104000</v>
      </c>
      <c r="E12" s="64" t="n">
        <v>1255000</v>
      </c>
      <c r="F12" s="64" t="n">
        <v>1499000</v>
      </c>
      <c r="G12" s="64" t="n">
        <v>1569000</v>
      </c>
      <c r="H12" s="64" t="n">
        <v>1547000</v>
      </c>
      <c r="I12" s="64" t="n">
        <v>1225000</v>
      </c>
      <c r="J12" s="64" t="n">
        <v>1354000</v>
      </c>
      <c r="K12" s="64" t="n">
        <v>1181000</v>
      </c>
      <c r="L12" s="64" t="n">
        <v>1064000</v>
      </c>
      <c r="M12" s="64" t="n">
        <v>1298000</v>
      </c>
      <c r="N12" s="64" t="n">
        <v>1519000</v>
      </c>
      <c r="O12" s="64" t="n">
        <v>1527000</v>
      </c>
      <c r="P12" s="70">
        <f>O12-D12</f>
        <v>423000</v>
      </c>
    </row>
    <row r="13">
      <c r="B13" s="63" t="inlineStr">
        <is>
          <t>Депозиты</t>
        </is>
      </c>
      <c r="C13" s="75" t="inlineStr">
        <is>
          <t>₸</t>
        </is>
      </c>
      <c r="D13" s="64" t="n">
        <v>4000000</v>
      </c>
      <c r="E13" s="64" t="n">
        <v>4676000</v>
      </c>
      <c r="F13" s="64" t="n">
        <v>5438000</v>
      </c>
      <c r="G13" s="64" t="n">
        <v>5958000</v>
      </c>
      <c r="H13" s="64" t="n">
        <v>6439000</v>
      </c>
      <c r="I13" s="64" t="n">
        <v>7021000</v>
      </c>
      <c r="J13" s="64" t="n">
        <v>7540000</v>
      </c>
      <c r="K13" s="64" t="n">
        <v>8037000</v>
      </c>
      <c r="L13" s="64" t="n">
        <v>8606000</v>
      </c>
      <c r="M13" s="64" t="n">
        <v>9251000</v>
      </c>
      <c r="N13" s="64" t="n">
        <v>9849000</v>
      </c>
      <c r="O13" s="64" t="n">
        <v>10383000</v>
      </c>
      <c r="P13" s="70">
        <f>O13-D13</f>
        <v>6383000</v>
      </c>
    </row>
    <row r="14">
      <c r="B14" s="63" t="inlineStr">
        <is>
          <t>Депозиты</t>
        </is>
      </c>
      <c r="C14" s="75" t="inlineStr">
        <is>
          <t>USD</t>
        </is>
      </c>
      <c r="D14" s="76" t="n">
        <v>10000</v>
      </c>
      <c r="E14" s="76" t="n">
        <v>10000</v>
      </c>
      <c r="F14" s="76" t="n">
        <v>10000</v>
      </c>
      <c r="G14" s="76" t="n">
        <v>12000</v>
      </c>
      <c r="H14" s="76" t="n">
        <v>12000</v>
      </c>
      <c r="I14" s="76" t="n">
        <v>12000</v>
      </c>
      <c r="J14" s="76" t="n">
        <v>12000</v>
      </c>
      <c r="K14" s="76" t="n">
        <v>12000</v>
      </c>
      <c r="L14" s="76" t="n">
        <v>14000</v>
      </c>
      <c r="M14" s="76" t="n">
        <v>14000</v>
      </c>
      <c r="N14" s="76" t="n">
        <v>14000</v>
      </c>
      <c r="O14" s="76" t="n">
        <v>14000</v>
      </c>
      <c r="P14" s="77">
        <f>O14-D14</f>
        <v>4000</v>
      </c>
    </row>
    <row r="15" ht="20" customHeight="1">
      <c r="B15" s="61" t="inlineStr">
        <is>
          <t>ИНВЕСТИЦИИ</t>
        </is>
      </c>
      <c r="C15" s="61" t="n"/>
      <c r="D15" s="61">
        <f>SUMPRODUCT(D16:D19*(($C16:$C19="USD")*(D$8-1)+1))</f>
        <v>20320000</v>
      </c>
      <c r="E15" s="61">
        <f>SUMPRODUCT(E16:E19*(($C16:$C19="USD")*(E$8-1)+1))</f>
        <v>20910000</v>
      </c>
      <c r="F15" s="61">
        <f>SUMPRODUCT(F16:F19*(($C16:$C19="USD")*(F$8-1)+1))</f>
        <v>21500000</v>
      </c>
      <c r="G15" s="61">
        <f>SUMPRODUCT(G16:G19*(($C16:$C19="USD")*(G$8-1)+1))</f>
        <v>21585000</v>
      </c>
      <c r="H15" s="61">
        <f>SUMPRODUCT(H16:H19*(($C16:$C19="USD")*(H$8-1)+1))</f>
        <v>22175000</v>
      </c>
      <c r="I15" s="61">
        <f>SUMPRODUCT(I16:I19*(($C16:$C19="USD")*(I$8-1)+1))</f>
        <v>24265000</v>
      </c>
      <c r="J15" s="61">
        <f>SUMPRODUCT(J16:J19*(($C16:$C19="USD")*(J$8-1)+1))</f>
        <v>24350000</v>
      </c>
      <c r="K15" s="61">
        <f>SUMPRODUCT(K16:K19*(($C16:$C19="USD")*(K$8-1)+1))</f>
        <v>24940000</v>
      </c>
      <c r="L15" s="61">
        <f>SUMPRODUCT(L16:L19*(($C16:$C19="USD")*(L$8-1)+1))</f>
        <v>25530000</v>
      </c>
      <c r="M15" s="61">
        <f>SUMPRODUCT(M16:M19*(($C16:$C19="USD")*(M$8-1)+1))</f>
        <v>26120000</v>
      </c>
      <c r="N15" s="61">
        <f>SUMPRODUCT(N16:N19*(($C16:$C19="USD")*(N$8-1)+1))</f>
        <v>26710000</v>
      </c>
      <c r="O15" s="61">
        <f>SUMPRODUCT(O16:O19*(($C16:$C19="USD")*(O$8-1)+1))</f>
        <v>26795000</v>
      </c>
      <c r="P15" s="61">
        <f>O15-D15</f>
        <v>6475000</v>
      </c>
      <c r="Q15" s="62">
        <f>IF(O33=0,0,O15/O33)</f>
        <v>0.136684775677813</v>
      </c>
    </row>
    <row r="16">
      <c r="B16" s="63" t="inlineStr">
        <is>
          <t>Акции и ETF</t>
        </is>
      </c>
      <c r="C16" s="75" t="inlineStr">
        <is>
          <t>USD</t>
        </is>
      </c>
      <c r="D16" s="76" t="n">
        <v>24000</v>
      </c>
      <c r="E16" s="76" t="n">
        <v>25000</v>
      </c>
      <c r="F16" s="76" t="n">
        <v>26000</v>
      </c>
      <c r="G16" s="76" t="n">
        <v>26000</v>
      </c>
      <c r="H16" s="76" t="n">
        <v>27000</v>
      </c>
      <c r="I16" s="76" t="n">
        <v>28000</v>
      </c>
      <c r="J16" s="76" t="n">
        <v>28000</v>
      </c>
      <c r="K16" s="76" t="n">
        <v>29000</v>
      </c>
      <c r="L16" s="76" t="n">
        <v>30000</v>
      </c>
      <c r="M16" s="76" t="n">
        <v>31000</v>
      </c>
      <c r="N16" s="76" t="n">
        <v>32000</v>
      </c>
      <c r="O16" s="76" t="n">
        <v>32000</v>
      </c>
      <c r="P16" s="77">
        <f>O16-D16</f>
        <v>8000</v>
      </c>
    </row>
    <row r="17">
      <c r="B17" s="63" t="inlineStr">
        <is>
          <t>Облигации</t>
        </is>
      </c>
      <c r="C17" s="75" t="inlineStr">
        <is>
          <t>₸</t>
        </is>
      </c>
      <c r="D17" s="64" t="n">
        <v>2000000</v>
      </c>
      <c r="E17" s="64" t="n">
        <v>2000000</v>
      </c>
      <c r="F17" s="64" t="n">
        <v>2000000</v>
      </c>
      <c r="G17" s="64" t="n">
        <v>2000000</v>
      </c>
      <c r="H17" s="64" t="n">
        <v>2000000</v>
      </c>
      <c r="I17" s="64" t="n">
        <v>3500000</v>
      </c>
      <c r="J17" s="64" t="n">
        <v>3500000</v>
      </c>
      <c r="K17" s="64" t="n">
        <v>3500000</v>
      </c>
      <c r="L17" s="64" t="n">
        <v>3500000</v>
      </c>
      <c r="M17" s="64" t="n">
        <v>3500000</v>
      </c>
      <c r="N17" s="64" t="n">
        <v>3500000</v>
      </c>
      <c r="O17" s="64" t="n">
        <v>3500000</v>
      </c>
      <c r="P17" s="70">
        <f>O17-D17</f>
        <v>1500000</v>
      </c>
    </row>
    <row r="18">
      <c r="B18" s="63" t="inlineStr">
        <is>
          <t>Пенсионные накопления (ЕНПФ)</t>
        </is>
      </c>
      <c r="C18" s="75" t="inlineStr">
        <is>
          <t>₸</t>
        </is>
      </c>
      <c r="D18" s="64" t="n">
        <v>6200000</v>
      </c>
      <c r="E18" s="64" t="n">
        <v>6285000</v>
      </c>
      <c r="F18" s="64" t="n">
        <v>6370000</v>
      </c>
      <c r="G18" s="64" t="n">
        <v>6455000</v>
      </c>
      <c r="H18" s="64" t="n">
        <v>6540000</v>
      </c>
      <c r="I18" s="64" t="n">
        <v>6625000</v>
      </c>
      <c r="J18" s="64" t="n">
        <v>6710000</v>
      </c>
      <c r="K18" s="64" t="n">
        <v>6795000</v>
      </c>
      <c r="L18" s="64" t="n">
        <v>6880000</v>
      </c>
      <c r="M18" s="64" t="n">
        <v>6965000</v>
      </c>
      <c r="N18" s="64" t="n">
        <v>7050000</v>
      </c>
      <c r="O18" s="64" t="n">
        <v>7135000</v>
      </c>
      <c r="P18" s="70">
        <f>O18-D18</f>
        <v>935000</v>
      </c>
    </row>
    <row r="19">
      <c r="B19" s="63" t="inlineStr">
        <is>
          <t>Прочие инвестиции</t>
        </is>
      </c>
      <c r="C19" s="75" t="inlineStr">
        <is>
          <t>₸</t>
        </is>
      </c>
      <c r="D19" s="64" t="n">
        <v>0</v>
      </c>
      <c r="E19" s="64" t="n">
        <v>0</v>
      </c>
      <c r="F19" s="64" t="n">
        <v>0</v>
      </c>
      <c r="G19" s="64" t="n">
        <v>0</v>
      </c>
      <c r="H19" s="64" t="n">
        <v>0</v>
      </c>
      <c r="I19" s="64" t="n">
        <v>0</v>
      </c>
      <c r="J19" s="64" t="n">
        <v>0</v>
      </c>
      <c r="K19" s="64" t="n">
        <v>0</v>
      </c>
      <c r="L19" s="64" t="n">
        <v>0</v>
      </c>
      <c r="M19" s="64" t="n">
        <v>0</v>
      </c>
      <c r="N19" s="64" t="n">
        <v>0</v>
      </c>
      <c r="O19" s="64" t="n">
        <v>0</v>
      </c>
      <c r="P19" s="70">
        <f>O19-D19</f>
        <v>0</v>
      </c>
    </row>
    <row r="20" ht="20" customHeight="1">
      <c r="B20" s="61" t="inlineStr">
        <is>
          <t>БИЗНЕС</t>
        </is>
      </c>
      <c r="C20" s="61" t="n"/>
      <c r="D20" s="61">
        <f>SUMPRODUCT(D21:D22*(($C21:$C22="USD")*(D$8-1)+1))</f>
        <v>63000000</v>
      </c>
      <c r="E20" s="61">
        <f>SUMPRODUCT(E21:E22*(($C21:$C22="USD")*(E$8-1)+1))</f>
        <v>63000000</v>
      </c>
      <c r="F20" s="61">
        <f>SUMPRODUCT(F21:F22*(($C21:$C22="USD")*(F$8-1)+1))</f>
        <v>63000000</v>
      </c>
      <c r="G20" s="61">
        <f>SUMPRODUCT(G21:G22*(($C21:$C22="USD")*(G$8-1)+1))</f>
        <v>66000000</v>
      </c>
      <c r="H20" s="61">
        <f>SUMPRODUCT(H21:H22*(($C21:$C22="USD")*(H$8-1)+1))</f>
        <v>65000000</v>
      </c>
      <c r="I20" s="61">
        <f>SUMPRODUCT(I21:I22*(($C21:$C22="USD")*(I$8-1)+1))</f>
        <v>65000000</v>
      </c>
      <c r="J20" s="61">
        <f>SUMPRODUCT(J21:J22*(($C21:$C22="USD")*(J$8-1)+1))</f>
        <v>67000000</v>
      </c>
      <c r="K20" s="61">
        <f>SUMPRODUCT(K21:K22*(($C21:$C22="USD")*(K$8-1)+1))</f>
        <v>67000000</v>
      </c>
      <c r="L20" s="61">
        <f>SUMPRODUCT(L21:L22*(($C21:$C22="USD")*(L$8-1)+1))</f>
        <v>66000000</v>
      </c>
      <c r="M20" s="61">
        <f>SUMPRODUCT(M21:M22*(($C21:$C22="USD")*(M$8-1)+1))</f>
        <v>69000000</v>
      </c>
      <c r="N20" s="61">
        <f>SUMPRODUCT(N21:N22*(($C21:$C22="USD")*(N$8-1)+1))</f>
        <v>69000000</v>
      </c>
      <c r="O20" s="61">
        <f>SUMPRODUCT(O21:O22*(($C21:$C22="USD")*(O$8-1)+1))</f>
        <v>69000000</v>
      </c>
      <c r="P20" s="61">
        <f>O20-D20</f>
        <v>6000000</v>
      </c>
      <c r="Q20" s="62">
        <f>IF(O33=0,0,O20/O33)</f>
        <v>0.351977963118831</v>
      </c>
    </row>
    <row r="21">
      <c r="B21" s="63" t="inlineStr">
        <is>
          <t>Доля в бизнесе (оценка)</t>
        </is>
      </c>
      <c r="C21" s="75" t="inlineStr">
        <is>
          <t>₸</t>
        </is>
      </c>
      <c r="D21" s="64" t="n">
        <v>60000000</v>
      </c>
      <c r="E21" s="64" t="n">
        <v>60000000</v>
      </c>
      <c r="F21" s="64" t="n">
        <v>60000000</v>
      </c>
      <c r="G21" s="64" t="n">
        <v>63000000</v>
      </c>
      <c r="H21" s="64" t="n">
        <v>63000000</v>
      </c>
      <c r="I21" s="64" t="n">
        <v>63000000</v>
      </c>
      <c r="J21" s="64" t="n">
        <v>65000000</v>
      </c>
      <c r="K21" s="64" t="n">
        <v>65000000</v>
      </c>
      <c r="L21" s="64" t="n">
        <v>65000000</v>
      </c>
      <c r="M21" s="64" t="n">
        <v>68000000</v>
      </c>
      <c r="N21" s="64" t="n">
        <v>68000000</v>
      </c>
      <c r="O21" s="64" t="n">
        <v>68000000</v>
      </c>
      <c r="P21" s="70">
        <f>O21-D21</f>
        <v>8000000</v>
      </c>
    </row>
    <row r="22">
      <c r="B22" s="63" t="inlineStr">
        <is>
          <t>Займы, выданные бизнесу</t>
        </is>
      </c>
      <c r="C22" s="75" t="inlineStr">
        <is>
          <t>₸</t>
        </is>
      </c>
      <c r="D22" s="64" t="n">
        <v>3000000</v>
      </c>
      <c r="E22" s="64" t="n">
        <v>3000000</v>
      </c>
      <c r="F22" s="64" t="n">
        <v>3000000</v>
      </c>
      <c r="G22" s="64" t="n">
        <v>3000000</v>
      </c>
      <c r="H22" s="64" t="n">
        <v>2000000</v>
      </c>
      <c r="I22" s="64" t="n">
        <v>2000000</v>
      </c>
      <c r="J22" s="64" t="n">
        <v>2000000</v>
      </c>
      <c r="K22" s="64" t="n">
        <v>2000000</v>
      </c>
      <c r="L22" s="64" t="n">
        <v>1000000</v>
      </c>
      <c r="M22" s="64" t="n">
        <v>1000000</v>
      </c>
      <c r="N22" s="64" t="n">
        <v>1000000</v>
      </c>
      <c r="O22" s="64" t="n">
        <v>1000000</v>
      </c>
      <c r="P22" s="70">
        <f>O22-D22</f>
        <v>-2000000</v>
      </c>
    </row>
    <row r="23" ht="20" customHeight="1">
      <c r="B23" s="61" t="inlineStr">
        <is>
          <t>НЕДВИЖИМОСТЬ И ИМУЩЕСТВО</t>
        </is>
      </c>
      <c r="C23" s="61" t="n"/>
      <c r="D23" s="61">
        <f>SUMPRODUCT(D24:D26*(($C24:$C26="USD")*(D$8-1)+1))</f>
        <v>79000000</v>
      </c>
      <c r="E23" s="61">
        <f>SUMPRODUCT(E24:E26*(($C24:$C26="USD")*(E$8-1)+1))</f>
        <v>78900000</v>
      </c>
      <c r="F23" s="61">
        <f>SUMPRODUCT(F24:F26*(($C24:$C26="USD")*(F$8-1)+1))</f>
        <v>78800000</v>
      </c>
      <c r="G23" s="61">
        <f>SUMPRODUCT(G24:G26*(($C24:$C26="USD")*(G$8-1)+1))</f>
        <v>78700000</v>
      </c>
      <c r="H23" s="61">
        <f>SUMPRODUCT(H24:H26*(($C24:$C26="USD")*(H$8-1)+1))</f>
        <v>78600000</v>
      </c>
      <c r="I23" s="61">
        <f>SUMPRODUCT(I24:I26*(($C24:$C26="USD")*(I$8-1)+1))</f>
        <v>78500000</v>
      </c>
      <c r="J23" s="61">
        <f>SUMPRODUCT(J24:J26*(($C24:$C26="USD")*(J$8-1)+1))</f>
        <v>80400000</v>
      </c>
      <c r="K23" s="61">
        <f>SUMPRODUCT(K24:K26*(($C24:$C26="USD")*(K$8-1)+1))</f>
        <v>80300000</v>
      </c>
      <c r="L23" s="61">
        <f>SUMPRODUCT(L24:L26*(($C24:$C26="USD")*(L$8-1)+1))</f>
        <v>80200000</v>
      </c>
      <c r="M23" s="61">
        <f>SUMPRODUCT(M24:M26*(($C24:$C26="USD")*(M$8-1)+1))</f>
        <v>80100000</v>
      </c>
      <c r="N23" s="61">
        <f>SUMPRODUCT(N24:N26*(($C24:$C26="USD")*(N$8-1)+1))</f>
        <v>80000000</v>
      </c>
      <c r="O23" s="61">
        <f>SUMPRODUCT(O24:O26*(($C24:$C26="USD")*(O$8-1)+1))</f>
        <v>79900000</v>
      </c>
      <c r="P23" s="61">
        <f>O23-D23</f>
        <v>900000</v>
      </c>
      <c r="Q23" s="62">
        <f>IF(O33=0,0,O23/O33)</f>
        <v>0.407580279031806</v>
      </c>
    </row>
    <row r="24">
      <c r="B24" s="63" t="inlineStr">
        <is>
          <t>Квартира, дом</t>
        </is>
      </c>
      <c r="C24" s="75" t="inlineStr">
        <is>
          <t>₸</t>
        </is>
      </c>
      <c r="D24" s="64" t="n">
        <v>65000000</v>
      </c>
      <c r="E24" s="64" t="n">
        <v>65000000</v>
      </c>
      <c r="F24" s="64" t="n">
        <v>65000000</v>
      </c>
      <c r="G24" s="64" t="n">
        <v>65000000</v>
      </c>
      <c r="H24" s="64" t="n">
        <v>65000000</v>
      </c>
      <c r="I24" s="64" t="n">
        <v>65000000</v>
      </c>
      <c r="J24" s="64" t="n">
        <v>67000000</v>
      </c>
      <c r="K24" s="64" t="n">
        <v>67000000</v>
      </c>
      <c r="L24" s="64" t="n">
        <v>67000000</v>
      </c>
      <c r="M24" s="64" t="n">
        <v>67000000</v>
      </c>
      <c r="N24" s="64" t="n">
        <v>67000000</v>
      </c>
      <c r="O24" s="64" t="n">
        <v>67000000</v>
      </c>
      <c r="P24" s="70">
        <f>O24-D24</f>
        <v>2000000</v>
      </c>
    </row>
    <row r="25">
      <c r="B25" s="63" t="inlineStr">
        <is>
          <t>Коммерческая недвижимость</t>
        </is>
      </c>
      <c r="C25" s="75" t="inlineStr">
        <is>
          <t>₸</t>
        </is>
      </c>
      <c r="D25" s="64" t="n">
        <v>0</v>
      </c>
      <c r="E25" s="64" t="n">
        <v>0</v>
      </c>
      <c r="F25" s="64" t="n">
        <v>0</v>
      </c>
      <c r="G25" s="64" t="n">
        <v>0</v>
      </c>
      <c r="H25" s="64" t="n">
        <v>0</v>
      </c>
      <c r="I25" s="64" t="n">
        <v>0</v>
      </c>
      <c r="J25" s="64" t="n">
        <v>0</v>
      </c>
      <c r="K25" s="64" t="n">
        <v>0</v>
      </c>
      <c r="L25" s="64" t="n">
        <v>0</v>
      </c>
      <c r="M25" s="64" t="n">
        <v>0</v>
      </c>
      <c r="N25" s="64" t="n">
        <v>0</v>
      </c>
      <c r="O25" s="64" t="n">
        <v>0</v>
      </c>
      <c r="P25" s="70">
        <f>O25-D25</f>
        <v>0</v>
      </c>
    </row>
    <row r="26">
      <c r="B26" s="63" t="inlineStr">
        <is>
          <t>Автомобиль</t>
        </is>
      </c>
      <c r="C26" s="75" t="inlineStr">
        <is>
          <t>₸</t>
        </is>
      </c>
      <c r="D26" s="64" t="n">
        <v>14000000</v>
      </c>
      <c r="E26" s="64" t="n">
        <v>13900000</v>
      </c>
      <c r="F26" s="64" t="n">
        <v>13800000</v>
      </c>
      <c r="G26" s="64" t="n">
        <v>13700000</v>
      </c>
      <c r="H26" s="64" t="n">
        <v>13600000</v>
      </c>
      <c r="I26" s="64" t="n">
        <v>13500000</v>
      </c>
      <c r="J26" s="64" t="n">
        <v>13400000</v>
      </c>
      <c r="K26" s="64" t="n">
        <v>13300000</v>
      </c>
      <c r="L26" s="64" t="n">
        <v>13200000</v>
      </c>
      <c r="M26" s="64" t="n">
        <v>13100000</v>
      </c>
      <c r="N26" s="64" t="n">
        <v>13000000</v>
      </c>
      <c r="O26" s="64" t="n">
        <v>12900000</v>
      </c>
      <c r="P26" s="70">
        <f>O26-D26</f>
        <v>-1100000</v>
      </c>
    </row>
    <row r="27" ht="20" customHeight="1">
      <c r="B27" s="61" t="inlineStr">
        <is>
          <t>ДОЛГИ И РАССРОЧКИ</t>
        </is>
      </c>
      <c r="C27" s="61" t="n"/>
      <c r="D27" s="61">
        <f>SUMPRODUCT(D28:D32*(($C28:$C32="USD")*(D$8-1)+1))</f>
        <v>31040000</v>
      </c>
      <c r="E27" s="61">
        <f>SUMPRODUCT(E28:E32*(($C28:$C32="USD")*(E$8-1)+1))</f>
        <v>30460000</v>
      </c>
      <c r="F27" s="61">
        <f>SUMPRODUCT(F28:F32*(($C28:$C32="USD")*(F$8-1)+1))</f>
        <v>29880000</v>
      </c>
      <c r="G27" s="61">
        <f>SUMPRODUCT(G28:G32*(($C28:$C32="USD")*(G$8-1)+1))</f>
        <v>29300000</v>
      </c>
      <c r="H27" s="61">
        <f>SUMPRODUCT(H28:H32*(($C28:$C32="USD")*(H$8-1)+1))</f>
        <v>28720000</v>
      </c>
      <c r="I27" s="61">
        <f>SUMPRODUCT(I28:I32*(($C28:$C32="USD")*(I$8-1)+1))</f>
        <v>28140000</v>
      </c>
      <c r="J27" s="61">
        <f>SUMPRODUCT(J28:J32*(($C28:$C32="USD")*(J$8-1)+1))</f>
        <v>27710000</v>
      </c>
      <c r="K27" s="61">
        <f>SUMPRODUCT(K28:K32*(($C28:$C32="USD")*(K$8-1)+1))</f>
        <v>26980000</v>
      </c>
      <c r="L27" s="61">
        <f>SUMPRODUCT(L28:L32*(($C28:$C32="USD")*(L$8-1)+1))</f>
        <v>26400000</v>
      </c>
      <c r="M27" s="61">
        <f>SUMPRODUCT(M28:M32*(($C28:$C32="USD")*(M$8-1)+1))</f>
        <v>25860000</v>
      </c>
      <c r="N27" s="61">
        <f>SUMPRODUCT(N28:N32*(($C28:$C32="USD")*(N$8-1)+1))</f>
        <v>25320000</v>
      </c>
      <c r="O27" s="61">
        <f>SUMPRODUCT(O28:O32*(($C28:$C32="USD")*(O$8-1)+1))</f>
        <v>24780000</v>
      </c>
      <c r="P27" s="61">
        <f>O27-D27</f>
        <v>-6260000</v>
      </c>
      <c r="Q27" s="62">
        <f>IF(O33=0,0,O27/O33)</f>
        <v>0.126405998928763</v>
      </c>
    </row>
    <row r="28">
      <c r="B28" s="63" t="inlineStr">
        <is>
          <t>Ипотека, остаток</t>
        </is>
      </c>
      <c r="C28" s="75" t="inlineStr">
        <is>
          <t>₸</t>
        </is>
      </c>
      <c r="D28" s="64" t="n">
        <v>25800000</v>
      </c>
      <c r="E28" s="64" t="n">
        <v>25500000</v>
      </c>
      <c r="F28" s="64" t="n">
        <v>25200000</v>
      </c>
      <c r="G28" s="64" t="n">
        <v>24900000</v>
      </c>
      <c r="H28" s="64" t="n">
        <v>24600000</v>
      </c>
      <c r="I28" s="64" t="n">
        <v>24300000</v>
      </c>
      <c r="J28" s="64" t="n">
        <v>24000000</v>
      </c>
      <c r="K28" s="64" t="n">
        <v>23700000</v>
      </c>
      <c r="L28" s="64" t="n">
        <v>23400000</v>
      </c>
      <c r="M28" s="64" t="n">
        <v>23100000</v>
      </c>
      <c r="N28" s="64" t="n">
        <v>22800000</v>
      </c>
      <c r="O28" s="64" t="n">
        <v>22500000</v>
      </c>
      <c r="P28" s="70">
        <f>O28-D28</f>
        <v>-3300000</v>
      </c>
    </row>
    <row r="29">
      <c r="B29" s="63" t="inlineStr">
        <is>
          <t>Автокредит, остаток</t>
        </is>
      </c>
      <c r="C29" s="75" t="inlineStr">
        <is>
          <t>₸</t>
        </is>
      </c>
      <c r="D29" s="64" t="n">
        <v>4140000</v>
      </c>
      <c r="E29" s="64" t="n">
        <v>3960000</v>
      </c>
      <c r="F29" s="64" t="n">
        <v>3780000</v>
      </c>
      <c r="G29" s="64" t="n">
        <v>3600000</v>
      </c>
      <c r="H29" s="64" t="n">
        <v>3420000</v>
      </c>
      <c r="I29" s="64" t="n">
        <v>3240000</v>
      </c>
      <c r="J29" s="64" t="n">
        <v>3060000</v>
      </c>
      <c r="K29" s="64" t="n">
        <v>2880000</v>
      </c>
      <c r="L29" s="64" t="n">
        <v>2700000</v>
      </c>
      <c r="M29" s="64" t="n">
        <v>2520000</v>
      </c>
      <c r="N29" s="64" t="n">
        <v>2340000</v>
      </c>
      <c r="O29" s="64" t="n">
        <v>2160000</v>
      </c>
      <c r="P29" s="70">
        <f>O29-D29</f>
        <v>-1980000</v>
      </c>
    </row>
    <row r="30">
      <c r="B30" s="63" t="inlineStr">
        <is>
          <t>Рассрочки, остаток</t>
        </is>
      </c>
      <c r="C30" s="75" t="inlineStr">
        <is>
          <t>₸</t>
        </is>
      </c>
      <c r="D30" s="64" t="n">
        <v>1100000</v>
      </c>
      <c r="E30" s="64" t="n">
        <v>1000000</v>
      </c>
      <c r="F30" s="64" t="n">
        <v>900000</v>
      </c>
      <c r="G30" s="64" t="n">
        <v>800000</v>
      </c>
      <c r="H30" s="64" t="n">
        <v>700000</v>
      </c>
      <c r="I30" s="64" t="n">
        <v>600000</v>
      </c>
      <c r="J30" s="64" t="n">
        <v>500000</v>
      </c>
      <c r="K30" s="64" t="n">
        <v>400000</v>
      </c>
      <c r="L30" s="64" t="n">
        <v>300000</v>
      </c>
      <c r="M30" s="64" t="n">
        <v>240000</v>
      </c>
      <c r="N30" s="64" t="n">
        <v>180000</v>
      </c>
      <c r="O30" s="64" t="n">
        <v>120000</v>
      </c>
      <c r="P30" s="70">
        <f>O30-D30</f>
        <v>-980000</v>
      </c>
    </row>
    <row r="31">
      <c r="B31" s="63" t="inlineStr">
        <is>
          <t>Кредитные карты</t>
        </is>
      </c>
      <c r="C31" s="75" t="inlineStr">
        <is>
          <t>₸</t>
        </is>
      </c>
      <c r="D31" s="64" t="n">
        <v>0</v>
      </c>
      <c r="E31" s="64" t="n">
        <v>0</v>
      </c>
      <c r="F31" s="64" t="n">
        <v>0</v>
      </c>
      <c r="G31" s="64" t="n">
        <v>0</v>
      </c>
      <c r="H31" s="64" t="n">
        <v>0</v>
      </c>
      <c r="I31" s="64" t="n">
        <v>0</v>
      </c>
      <c r="J31" s="64" t="n">
        <v>150000</v>
      </c>
      <c r="K31" s="64" t="n">
        <v>0</v>
      </c>
      <c r="L31" s="64" t="n">
        <v>0</v>
      </c>
      <c r="M31" s="64" t="n">
        <v>0</v>
      </c>
      <c r="N31" s="64" t="n">
        <v>0</v>
      </c>
      <c r="O31" s="64" t="n">
        <v>0</v>
      </c>
      <c r="P31" s="70">
        <f>O31-D31</f>
        <v>0</v>
      </c>
    </row>
    <row r="32">
      <c r="B32" s="63" t="inlineStr">
        <is>
          <t>Личные долги</t>
        </is>
      </c>
      <c r="C32" s="75" t="inlineStr">
        <is>
          <t>₸</t>
        </is>
      </c>
      <c r="D32" s="64" t="n">
        <v>0</v>
      </c>
      <c r="E32" s="64" t="n">
        <v>0</v>
      </c>
      <c r="F32" s="64" t="n">
        <v>0</v>
      </c>
      <c r="G32" s="64" t="n">
        <v>0</v>
      </c>
      <c r="H32" s="64" t="n">
        <v>0</v>
      </c>
      <c r="I32" s="64" t="n">
        <v>0</v>
      </c>
      <c r="J32" s="64" t="n">
        <v>0</v>
      </c>
      <c r="K32" s="64" t="n">
        <v>0</v>
      </c>
      <c r="L32" s="64" t="n">
        <v>0</v>
      </c>
      <c r="M32" s="64" t="n">
        <v>0</v>
      </c>
      <c r="N32" s="64" t="n">
        <v>0</v>
      </c>
      <c r="O32" s="64" t="n">
        <v>0</v>
      </c>
      <c r="P32" s="70">
        <f>O32-D32</f>
        <v>0</v>
      </c>
    </row>
    <row r="33">
      <c r="B33" s="78" t="inlineStr">
        <is>
          <t>ИТОГО АКТИВЫ</t>
        </is>
      </c>
      <c r="C33" s="78" t="n"/>
      <c r="D33" s="78">
        <f>D9+D15+D20+D23</f>
        <v>174339000</v>
      </c>
      <c r="E33" s="78">
        <f>E9+E15+E20+E23</f>
        <v>175656000</v>
      </c>
      <c r="F33" s="78">
        <f>F9+F15+F20+F23</f>
        <v>177152000</v>
      </c>
      <c r="G33" s="78">
        <f>G9+G15+G20+G23</f>
        <v>181737000</v>
      </c>
      <c r="H33" s="78">
        <f>H9+H15+H20+H23</f>
        <v>181686000</v>
      </c>
      <c r="I33" s="78">
        <f>I9+I15+I20+I23</f>
        <v>183936000</v>
      </c>
      <c r="J33" s="78">
        <f>J9+J15+J20+J23</f>
        <v>188064000</v>
      </c>
      <c r="K33" s="78">
        <f>K9+K15+K20+K23</f>
        <v>188878000</v>
      </c>
      <c r="L33" s="78">
        <f>L9+L15+L20+L23</f>
        <v>189830000</v>
      </c>
      <c r="M33" s="78">
        <f>M9+M15+M20+M23</f>
        <v>194199000</v>
      </c>
      <c r="N33" s="78">
        <f>N9+N15+N20+N23</f>
        <v>195508000</v>
      </c>
      <c r="O33" s="78">
        <f>O9+O15+O20+O23</f>
        <v>196035000</v>
      </c>
      <c r="P33" s="78">
        <f>P9+P15+P20+P23</f>
        <v>21696000</v>
      </c>
      <c r="Q33" s="78" t="n"/>
    </row>
    <row r="34">
      <c r="B34" s="79" t="inlineStr">
        <is>
          <t>ИТОГО ДОЛГИ</t>
        </is>
      </c>
      <c r="C34" s="79" t="n"/>
      <c r="D34" s="79">
        <f>D27</f>
        <v>31040000</v>
      </c>
      <c r="E34" s="79">
        <f>E27</f>
        <v>30460000</v>
      </c>
      <c r="F34" s="79">
        <f>F27</f>
        <v>29880000</v>
      </c>
      <c r="G34" s="79">
        <f>G27</f>
        <v>29300000</v>
      </c>
      <c r="H34" s="79">
        <f>H27</f>
        <v>28720000</v>
      </c>
      <c r="I34" s="79">
        <f>I27</f>
        <v>28140000</v>
      </c>
      <c r="J34" s="79">
        <f>J27</f>
        <v>27710000</v>
      </c>
      <c r="K34" s="79">
        <f>K27</f>
        <v>26980000</v>
      </c>
      <c r="L34" s="79">
        <f>L27</f>
        <v>26400000</v>
      </c>
      <c r="M34" s="79">
        <f>M27</f>
        <v>25860000</v>
      </c>
      <c r="N34" s="79">
        <f>N27</f>
        <v>25320000</v>
      </c>
      <c r="O34" s="79">
        <f>O27</f>
        <v>24780000</v>
      </c>
      <c r="P34" s="79">
        <f>P27</f>
        <v>-6260000</v>
      </c>
      <c r="Q34" s="79" t="n"/>
    </row>
    <row r="35" ht="24" customHeight="1">
      <c r="B35" s="80" t="inlineStr">
        <is>
          <t>ЧИСТЫЙ КАПИТАЛ</t>
        </is>
      </c>
      <c r="C35" s="80" t="n"/>
      <c r="D35" s="80">
        <f>D33-D34</f>
        <v>143299000</v>
      </c>
      <c r="E35" s="80">
        <f>E33-E34</f>
        <v>145196000</v>
      </c>
      <c r="F35" s="80">
        <f>F33-F34</f>
        <v>147272000</v>
      </c>
      <c r="G35" s="80">
        <f>G33-G34</f>
        <v>152437000</v>
      </c>
      <c r="H35" s="80">
        <f>H33-H34</f>
        <v>152966000</v>
      </c>
      <c r="I35" s="80">
        <f>I33-I34</f>
        <v>155796000</v>
      </c>
      <c r="J35" s="80">
        <f>J33-J34</f>
        <v>160354000</v>
      </c>
      <c r="K35" s="80">
        <f>K33-K34</f>
        <v>161898000</v>
      </c>
      <c r="L35" s="80">
        <f>L33-L34</f>
        <v>163430000</v>
      </c>
      <c r="M35" s="80">
        <f>M33-M34</f>
        <v>168339000</v>
      </c>
      <c r="N35" s="80">
        <f>N33-N34</f>
        <v>170188000</v>
      </c>
      <c r="O35" s="80">
        <f>O33-O34</f>
        <v>171255000</v>
      </c>
      <c r="P35" s="80">
        <f>P33-P34</f>
        <v>27956000</v>
      </c>
      <c r="Q35" s="80" t="n"/>
    </row>
    <row r="36">
      <c r="B36" s="69" t="inlineStr">
        <is>
          <t>Изменение за месяц</t>
        </is>
      </c>
      <c r="C36" s="70" t="n"/>
      <c r="D36" s="70" t="n">
        <v>0</v>
      </c>
      <c r="E36" s="70">
        <f>E35-D35</f>
        <v>1897000</v>
      </c>
      <c r="F36" s="70">
        <f>F35-E35</f>
        <v>2076000</v>
      </c>
      <c r="G36" s="70">
        <f>G35-F35</f>
        <v>5165000</v>
      </c>
      <c r="H36" s="70">
        <f>H35-G35</f>
        <v>529000</v>
      </c>
      <c r="I36" s="70">
        <f>I35-H35</f>
        <v>2830000</v>
      </c>
      <c r="J36" s="70">
        <f>J35-I35</f>
        <v>4558000</v>
      </c>
      <c r="K36" s="70">
        <f>K35-J35</f>
        <v>1544000</v>
      </c>
      <c r="L36" s="70">
        <f>L35-K35</f>
        <v>1532000</v>
      </c>
      <c r="M36" s="70">
        <f>M35-L35</f>
        <v>4909000</v>
      </c>
      <c r="N36" s="70">
        <f>N35-M35</f>
        <v>1849000</v>
      </c>
      <c r="O36" s="70">
        <f>O35-N35</f>
        <v>1067000</v>
      </c>
      <c r="P36" s="70" t="n"/>
    </row>
    <row r="37">
      <c r="B37" s="81" t="inlineStr">
        <is>
          <t>Подушка: деньги / средний расход</t>
        </is>
      </c>
      <c r="C37" s="82" t="n"/>
      <c r="D37" s="82">
        <f>IF(Год!$E$21=0,0,D9/Год!$E$21)</f>
        <v>5.44647105471848</v>
      </c>
      <c r="E37" s="82">
        <f>IF(Год!$E$21=0,0,E9/Год!$E$21)</f>
        <v>5.82123031607568</v>
      </c>
      <c r="F37" s="82">
        <f>IF(Год!$E$21=0,0,F9/Год!$E$21)</f>
        <v>6.27710433896001</v>
      </c>
      <c r="G37" s="82">
        <f>IF(Год!$E$21=0,0,G9/Год!$E$21)</f>
        <v>7.00215248668857</v>
      </c>
      <c r="H37" s="82">
        <f>IF(Год!$E$21=0,0,H9/Год!$E$21)</f>
        <v>7.2101506740682</v>
      </c>
      <c r="I37" s="82">
        <f>IF(Год!$E$21=0,0,I9/Год!$E$21)</f>
        <v>7.32797099807409</v>
      </c>
      <c r="J37" s="82">
        <f>IF(Год!$E$21=0,0,J9/Год!$E$21)</f>
        <v>7.39277217627733</v>
      </c>
      <c r="K37" s="82">
        <f>IF(Год!$E$21=0,0,K9/Год!$E$21)</f>
        <v>7.53959442619236</v>
      </c>
      <c r="L37" s="82">
        <f>IF(Год!$E$21=0,0,L9/Год!$E$21)</f>
        <v>8.20210717117934</v>
      </c>
      <c r="M37" s="82">
        <f>IF(Год!$E$21=0,0,M9/Год!$E$21)</f>
        <v>8.60043049733771</v>
      </c>
      <c r="N37" s="82">
        <f>IF(Год!$E$21=0,0,N9/Год!$E$21)</f>
        <v>8.97156451795627</v>
      </c>
      <c r="O37" s="82">
        <f>IF(Год!$E$21=0,0,O9/Год!$E$21)</f>
        <v>9.21717457799932</v>
      </c>
      <c r="P37" s="82" t="n"/>
    </row>
    <row r="38">
      <c r="B38" s="83" t="inlineStr">
        <is>
          <t>Долги к активам</t>
        </is>
      </c>
      <c r="C38" s="84" t="n"/>
      <c r="D38" s="84">
        <f>IF(D33=0,0,D34/D33)</f>
        <v>0.178043925914454</v>
      </c>
      <c r="E38" s="84">
        <f>IF(E33=0,0,E34/E33)</f>
        <v>0.17340711390445</v>
      </c>
      <c r="F38" s="84">
        <f>IF(F33=0,0,F34/F33)</f>
        <v>0.168668713872832</v>
      </c>
      <c r="G38" s="84">
        <f>IF(G33=0,0,G34/G33)</f>
        <v>0.161221985616578</v>
      </c>
      <c r="H38" s="84">
        <f>IF(H33=0,0,H34/H33)</f>
        <v>0.15807492046718</v>
      </c>
      <c r="I38" s="84">
        <f>IF(I33=0,0,I34/I33)</f>
        <v>0.152987995824635</v>
      </c>
      <c r="J38" s="84">
        <f>IF(J33=0,0,J34/J33)</f>
        <v>0.147343457546367</v>
      </c>
      <c r="K38" s="84">
        <f>IF(K33=0,0,K34/K33)</f>
        <v>0.142843528626944</v>
      </c>
      <c r="L38" s="84">
        <f>IF(L33=0,0,L34/L33)</f>
        <v>0.139071801085181</v>
      </c>
      <c r="M38" s="84">
        <f>IF(M33=0,0,M34/M33)</f>
        <v>0.133162374677522</v>
      </c>
      <c r="N38" s="84">
        <f>IF(N33=0,0,N34/N33)</f>
        <v>0.129508766904679</v>
      </c>
      <c r="O38" s="84">
        <f>IF(O33=0,0,O34/O33)</f>
        <v>0.126405998928763</v>
      </c>
      <c r="P38" s="84" t="n"/>
    </row>
    <row r="40">
      <c r="B40" s="85" t="inlineStr">
        <is>
          <t>КАЛЬКУЛЯТОР КРЕДИТОВ И РАССРОЧЕК</t>
        </is>
      </c>
    </row>
    <row r="41">
      <c r="B41" s="9" t="inlineStr">
        <is>
          <t>Сколько уже выплачено и сколько осталось. Платёж считается равными частями: сумма к выплате с процентами / срок.</t>
        </is>
      </c>
    </row>
    <row r="42" ht="30" customHeight="1">
      <c r="B42" s="59" t="inlineStr">
        <is>
          <t>Кредит или рассрочка</t>
        </is>
      </c>
      <c r="C42" s="60" t="inlineStr">
        <is>
          <t>Срок, мес</t>
        </is>
      </c>
      <c r="D42" s="60" t="inlineStr">
        <is>
          <t>Сумма к выплате</t>
        </is>
      </c>
      <c r="E42" s="60" t="inlineStr">
        <is>
          <t>Платёж в мес</t>
        </is>
      </c>
      <c r="F42" s="60" t="inlineStr">
        <is>
          <t>Выплачено мес</t>
        </is>
      </c>
      <c r="G42" s="60" t="inlineStr">
        <is>
          <t>Осталось мес</t>
        </is>
      </c>
      <c r="H42" s="60" t="inlineStr">
        <is>
          <t>Выплачено</t>
        </is>
      </c>
      <c r="I42" s="60" t="inlineStr">
        <is>
          <t>Остаток долга</t>
        </is>
      </c>
      <c r="J42" s="60" t="inlineStr">
        <is>
          <t>Прогресс</t>
        </is>
      </c>
    </row>
    <row r="43">
      <c r="B43" s="86" t="inlineStr">
        <is>
          <t>Ипотека</t>
        </is>
      </c>
      <c r="C43" s="87" t="n">
        <v>120</v>
      </c>
      <c r="D43" s="64" t="n">
        <v>36000000</v>
      </c>
      <c r="E43" s="65">
        <f>IF(OR(C43="",C43=0),0,D43/C43)</f>
        <v>300000</v>
      </c>
      <c r="F43" s="87" t="n">
        <v>34</v>
      </c>
      <c r="G43" s="88">
        <f>IF(C43="",0,MAX(0,C43-F43))</f>
        <v>86</v>
      </c>
      <c r="H43" s="65">
        <f>E43*MIN(F43,C43)</f>
        <v>10200000</v>
      </c>
      <c r="I43" s="65">
        <f>MAX(0,D43-H43)</f>
        <v>25800000</v>
      </c>
      <c r="J43" s="66">
        <f>IF(N(D43)=0,0,H43/D43)</f>
        <v>0.283333333333333</v>
      </c>
    </row>
    <row r="44">
      <c r="B44" s="86" t="inlineStr">
        <is>
          <t>Автокредит</t>
        </is>
      </c>
      <c r="C44" s="87" t="n">
        <v>48</v>
      </c>
      <c r="D44" s="64" t="n">
        <v>8640000</v>
      </c>
      <c r="E44" s="65">
        <f>IF(OR(C44="",C44=0),0,D44/C44)</f>
        <v>180000</v>
      </c>
      <c r="F44" s="87" t="n">
        <v>27</v>
      </c>
      <c r="G44" s="88">
        <f>IF(C44="",0,MAX(0,C44-F44))</f>
        <v>21</v>
      </c>
      <c r="H44" s="65">
        <f>E44*MIN(F44,C44)</f>
        <v>4860000</v>
      </c>
      <c r="I44" s="65">
        <f>MAX(0,D44-H44)</f>
        <v>3780000</v>
      </c>
      <c r="J44" s="66">
        <f>IF(N(D44)=0,0,H44/D44)</f>
        <v>0.5625</v>
      </c>
    </row>
    <row r="45">
      <c r="B45" s="86" t="inlineStr">
        <is>
          <t>Рассрочка: техника</t>
        </is>
      </c>
      <c r="C45" s="87" t="n">
        <v>12</v>
      </c>
      <c r="D45" s="64" t="n">
        <v>720000</v>
      </c>
      <c r="E45" s="65">
        <f>IF(OR(C45="",C45=0),0,D45/C45)</f>
        <v>60000</v>
      </c>
      <c r="F45" s="87" t="n">
        <v>9</v>
      </c>
      <c r="G45" s="88">
        <f>IF(C45="",0,MAX(0,C45-F45))</f>
        <v>3</v>
      </c>
      <c r="H45" s="65">
        <f>E45*MIN(F45,C45)</f>
        <v>540000</v>
      </c>
      <c r="I45" s="65">
        <f>MAX(0,D45-H45)</f>
        <v>180000</v>
      </c>
      <c r="J45" s="66">
        <f>IF(N(D45)=0,0,H45/D45)</f>
        <v>0.75</v>
      </c>
    </row>
    <row r="46">
      <c r="B46" s="86" t="inlineStr">
        <is>
          <t>Рассрочка: мебель</t>
        </is>
      </c>
      <c r="C46" s="87" t="n">
        <v>12</v>
      </c>
      <c r="D46" s="64" t="n">
        <v>480000</v>
      </c>
      <c r="E46" s="65">
        <f>IF(OR(C46="",C46=0),0,D46/C46)</f>
        <v>40000</v>
      </c>
      <c r="F46" s="87" t="n">
        <v>4</v>
      </c>
      <c r="G46" s="88">
        <f>IF(C46="",0,MAX(0,C46-F46))</f>
        <v>8</v>
      </c>
      <c r="H46" s="65">
        <f>E46*MIN(F46,C46)</f>
        <v>160000</v>
      </c>
      <c r="I46" s="65">
        <f>MAX(0,D46-H46)</f>
        <v>320000</v>
      </c>
      <c r="J46" s="66">
        <f>IF(N(D46)=0,0,H46/D46)</f>
        <v>0.333333333333333</v>
      </c>
    </row>
    <row r="47">
      <c r="B47" s="86" t="n"/>
      <c r="C47" s="87" t="n"/>
      <c r="D47" s="64" t="n"/>
      <c r="E47" s="65">
        <f>IF(OR(C47="",C47=0),0,D47/C47)</f>
        <v>0</v>
      </c>
      <c r="F47" s="87" t="n"/>
      <c r="G47" s="88">
        <f>IF(C47="",0,MAX(0,C47-F47))</f>
        <v>0</v>
      </c>
      <c r="H47" s="65">
        <f>E47*MIN(F47,C47)</f>
        <v>0</v>
      </c>
      <c r="I47" s="65">
        <f>MAX(0,D47-H47)</f>
        <v>0</v>
      </c>
      <c r="J47" s="66">
        <f>IF(N(D47)=0,0,H47/D47)</f>
        <v>0</v>
      </c>
    </row>
    <row r="48">
      <c r="B48" s="86" t="n"/>
      <c r="C48" s="87" t="n"/>
      <c r="D48" s="64" t="n"/>
      <c r="E48" s="65">
        <f>IF(OR(C48="",C48=0),0,D48/C48)</f>
        <v>0</v>
      </c>
      <c r="F48" s="87" t="n"/>
      <c r="G48" s="88">
        <f>IF(C48="",0,MAX(0,C48-F48))</f>
        <v>0</v>
      </c>
      <c r="H48" s="65">
        <f>E48*MIN(F48,C48)</f>
        <v>0</v>
      </c>
      <c r="I48" s="65">
        <f>MAX(0,D48-H48)</f>
        <v>0</v>
      </c>
      <c r="J48" s="66">
        <f>IF(N(D48)=0,0,H48/D48)</f>
        <v>0</v>
      </c>
    </row>
    <row r="49">
      <c r="B49" s="67" t="inlineStr">
        <is>
          <t>ИТОГО</t>
        </is>
      </c>
      <c r="C49" s="89" t="n"/>
      <c r="D49" s="67">
        <f>SUM(D43:D48)</f>
        <v>45840000</v>
      </c>
      <c r="E49" s="67">
        <f>SUM(E43:E48)</f>
        <v>580000</v>
      </c>
      <c r="F49" s="89" t="n"/>
      <c r="G49" s="89" t="n"/>
      <c r="H49" s="67">
        <f>SUM(H43:H48)</f>
        <v>15760000</v>
      </c>
      <c r="I49" s="67">
        <f>SUM(I43:I48)</f>
        <v>30080000</v>
      </c>
      <c r="J49" s="68">
        <f>IF(D49=0,0,H49/D49)</f>
        <v>0.343804537521815</v>
      </c>
    </row>
    <row r="51">
      <c r="B51" s="9" t="inlineStr">
        <is>
          <t>Активы и долги вводите положительными числами: долги вычитаются автоматически.</t>
        </is>
      </c>
    </row>
    <row r="52">
      <c r="B52" s="9" t="inlineStr">
        <is>
          <t>Доля в бизнесе: консервативная оценка вашей доли (например, 3-4 годовые чистые прибыли x ваша доля). Пересматривайте раз в квартал.</t>
        </is>
      </c>
    </row>
    <row r="53">
      <c r="B53" s="9" t="inlineStr">
        <is>
          <t>Деньги: только то, что можно получить за 1-3 дня. Именно они считаются финансовой подушкой.</t>
        </is>
      </c>
    </row>
    <row r="55">
      <c r="B55" s="31" t="inlineStr">
        <is>
          <t>© Business Surgery · bxclub.kz</t>
        </is>
      </c>
      <c r="C55" s="32" t="n"/>
      <c r="D55" s="32" t="n"/>
      <c r="E55" s="32" t="n"/>
      <c r="F55" s="32" t="n"/>
      <c r="G55" s="32" t="n"/>
      <c r="H55" s="32" t="n"/>
      <c r="I55" s="32" t="n"/>
      <c r="J55" s="32" t="n"/>
      <c r="K55" s="32" t="n"/>
      <c r="L55" s="32" t="n"/>
      <c r="M55" s="32" t="n"/>
      <c r="N55" s="32" t="n"/>
      <c r="O55" s="32" t="n"/>
      <c r="P55" s="32" t="n"/>
      <c r="Q55" s="33" t="inlineStr">
        <is>
          <t>Шаблон для резидентов клуба</t>
        </is>
      </c>
    </row>
  </sheetData>
  <conditionalFormatting sqref="D35:P35">
    <cfRule type="cellIs" priority="1" operator="lessThan" dxfId="0">
      <formula>0</formula>
    </cfRule>
  </conditionalFormatting>
  <conditionalFormatting sqref="D36:O36">
    <cfRule type="cellIs" priority="2" operator="lessThan" dxfId="0">
      <formula>0</formula>
    </cfRule>
  </conditionalFormatting>
  <conditionalFormatting sqref="D37:O37">
    <cfRule type="expression" priority="3" dxfId="0">
      <formula>D37&lt;Старт!$D$19</formula>
    </cfRule>
  </conditionalFormatting>
  <conditionalFormatting sqref="J43:J48">
    <cfRule type="dataBar" priority="4">
      <dataBar showValue="1">
        <cfvo type="num" val="0"/>
        <cfvo type="num" val="1"/>
        <color rgb="009A9A9A"/>
      </dataBar>
    </cfRule>
  </conditionalFormatting>
  <dataValidations count="3">
    <dataValidation sqref="C10 C11 C12 C13 C14 C16 C17 C18 C19 C21 C22 C24 C25 C26 C28 C29 C30 C31 C32" showDropDown="0" showInputMessage="0" showErrorMessage="1" allowBlank="0" errorTitle="Валюта" error="Выберите ₸ или USD" type="list">
      <formula1>"₸,USD"</formula1>
    </dataValidation>
    <dataValidation sqref="D10:O10 D11:O11 D12:O12 D13:O13 D14:O14 D16:O16 D17:O17 D18:O18 D19:O19 D21:O21 D22:O22 D24:O24 D25:O25 D26:O26 D28:O28 D29:O29 D30:O30 D31:O31 D32:O32" showDropDown="0" showInputMessage="0" showErrorMessage="1" allowBlank="1" errorTitle="Сумма" error="Введите остаток, 0 или больше. Долги вводятся положительным числом." type="decimal" operator="greaterThanOrEqual">
      <formula1>0</formula1>
    </dataValidation>
    <dataValidation sqref="C43:C48 F43:F48" showDropDown="0" showInputMessage="0" showErrorMessage="1" allowBlank="1" errorTitle="Месяцы" error="Введите целое число месяцев" type="whole" operator="between">
      <formula1>0</formula1>
      <formula2>600</formula2>
    </dataValidation>
  </dataValidations>
  <printOptions horizontalCentered="1"/>
  <pageMargins left="0.4" right="0.4" top="0.6" bottom="0.6" header="0.5" footer="0.5"/>
  <pageSetup orientation="landscape" paperSize="9" fitToHeight="1" fitToWidth="1"/>
  <headerFooter differentFirst="1">
    <oddHeader/>
    <oddFooter>&amp;L&amp;"Arial"&amp;8 © Business Surgery · bxclub.kz&amp;R&amp;"Arial"&amp;8 стр. &amp;P из &amp;N</oddFooter>
    <evenHeader/>
    <evenFooter/>
    <firstHeader/>
    <firstFooter>&amp;L&amp;"Arial"&amp;8 © Business Surgery · bxclub.kz&amp;R&amp;"Arial"&amp;8 стр. &amp;P из &amp;N</firstFooter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000000"/>
    <outlinePr summaryBelow="1" summaryRight="1"/>
    <pageSetUpPr fitToPage="1"/>
  </sheetPr>
  <dimension ref="A1:M26"/>
  <sheetViews>
    <sheetView showGridLines="0" tabSelected="0" zoomScale="9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5" customWidth="1" min="2" max="2"/>
    <col width="40" customWidth="1" min="3" max="3"/>
    <col width="22" customWidth="1" min="4" max="4"/>
    <col width="15" customWidth="1" min="5" max="5"/>
    <col width="13" customWidth="1" min="6" max="6"/>
    <col width="15" customWidth="1" min="7" max="7"/>
    <col width="15" customWidth="1" min="8" max="8"/>
    <col width="10" customWidth="1" min="9" max="9"/>
    <col width="14" customWidth="1" min="10" max="10"/>
    <col width="11" customWidth="1" min="11" max="11"/>
    <col width="16" customWidth="1" min="12" max="12"/>
    <col width="14" customWidth="1" min="13" max="13"/>
  </cols>
  <sheetData>
    <row r="1" ht="30" customHeight="1">
      <c r="A1" s="1" t="n"/>
      <c r="B1" s="2" t="inlineStr">
        <is>
          <t>BUSINESS SURGERY · Личный финансовый план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3" t="str">
        <f>IF(Старт!$D$15="","",Старт!$D$15&amp;"  ·  ")&amp;Старт!$D$16&amp;" год"</f>
        <v>Ваше имя  ·  2026 год</v>
      </c>
    </row>
    <row r="2" ht="10" customHeight="1"/>
    <row r="3" ht="32" customHeight="1">
      <c r="B3" s="5" t="inlineStr">
        <is>
          <t>Цели</t>
        </is>
      </c>
    </row>
    <row r="4">
      <c r="B4" s="6" t="inlineStr">
        <is>
          <t>Финансовые цели: сколько нужно, к какому сроку и сколько откладывать в месяц</t>
        </is>
      </c>
    </row>
    <row r="5" ht="10" customHeight="1"/>
    <row r="7" ht="32" customHeight="1">
      <c r="B7" s="90" t="inlineStr">
        <is>
          <t>№</t>
        </is>
      </c>
      <c r="C7" s="60" t="inlineStr">
        <is>
          <t>Цель</t>
        </is>
      </c>
      <c r="D7" s="60" t="inlineStr">
        <is>
          <t>Категория</t>
        </is>
      </c>
      <c r="E7" s="60" t="inlineStr">
        <is>
          <t>Сумма цели</t>
        </is>
      </c>
      <c r="F7" s="60" t="inlineStr">
        <is>
          <t>Срок</t>
        </is>
      </c>
      <c r="G7" s="60" t="inlineStr">
        <is>
          <t>Накоплено</t>
        </is>
      </c>
      <c r="H7" s="60" t="inlineStr">
        <is>
          <t>Осталось</t>
        </is>
      </c>
      <c r="I7" s="60" t="inlineStr">
        <is>
          <t>Месяцев до срока</t>
        </is>
      </c>
      <c r="J7" s="60" t="inlineStr">
        <is>
          <t>Нужно в месяц</t>
        </is>
      </c>
      <c r="K7" s="60" t="inlineStr">
        <is>
          <t>Прогресс</t>
        </is>
      </c>
      <c r="L7" s="60" t="inlineStr">
        <is>
          <t>Шкала</t>
        </is>
      </c>
      <c r="M7" s="60" t="inlineStr">
        <is>
          <t>Статус</t>
        </is>
      </c>
    </row>
    <row r="8" ht="20" customHeight="1">
      <c r="B8" s="91" t="n">
        <v>1</v>
      </c>
      <c r="C8" s="86" t="inlineStr">
        <is>
          <t>Финансовая подушка</t>
        </is>
      </c>
      <c r="D8" s="86" t="inlineStr">
        <is>
          <t>Подушка безопасности</t>
        </is>
      </c>
      <c r="E8" s="92">
        <f>ROUND(Старт!$D$19*Год!$E$21,-4)</f>
        <v>13240000</v>
      </c>
      <c r="F8" s="93" t="n">
        <v>46477</v>
      </c>
      <c r="G8" s="92">
        <f>INDEX(Капитал!$D$9:$O$9,Старт!$D$22)</f>
        <v>20340000</v>
      </c>
      <c r="H8" s="65">
        <f>IF(N(E8)=0,"",MAX(0,E8-G8))</f>
        <v>0</v>
      </c>
      <c r="I8" s="94">
        <f>IF(F8="","",MAX(0,(YEAR(F8)-YEAR(Старт!$D$21))*12+MONTH(F8)-MONTH(Старт!$D$21)))</f>
        <v>5</v>
      </c>
      <c r="J8" s="65">
        <f>IF(N(E8)=0,"",IF(H8=0,0,IF(N(I8)=0,H8,H8/I8)))</f>
        <v>0</v>
      </c>
      <c r="K8" s="66">
        <f>IF(N(E8)=0,"",MIN(1,G8/E8))</f>
        <v>1</v>
      </c>
      <c r="L8" s="95" t="str">
        <f>IF(K8="","",REPT("■",ROUND(K8*10,0))&amp;REPT("□",10-ROUND(K8*10,0)))</f>
        <v>■■■■■■■■■■</v>
      </c>
      <c r="M8" s="96" t="str">
        <f>IF(N(E8)=0,"",IF(G8&gt;=E8,"Достигнута",IF(N(I8)=0,"Срок прошёл","В процессе")))</f>
        <v>Достигнута</v>
      </c>
    </row>
    <row r="9" ht="20" customHeight="1">
      <c r="B9" s="91" t="n">
        <v>2</v>
      </c>
      <c r="C9" s="86" t="inlineStr">
        <is>
          <t>Первый взнос за коммерческое помещение</t>
        </is>
      </c>
      <c r="D9" s="86" t="inlineStr">
        <is>
          <t>Недвижимость</t>
        </is>
      </c>
      <c r="E9" s="64" t="n">
        <v>25000000</v>
      </c>
      <c r="F9" s="93" t="n">
        <v>47118</v>
      </c>
      <c r="G9" s="64" t="n">
        <v>8500000</v>
      </c>
      <c r="H9" s="65">
        <f>IF(N(E9)=0,"",MAX(0,E9-G9))</f>
        <v>16500000</v>
      </c>
      <c r="I9" s="94">
        <f>IF(F9="","",MAX(0,(YEAR(F9)-YEAR(Старт!$D$21))*12+MONTH(F9)-MONTH(Старт!$D$21)))</f>
        <v>26</v>
      </c>
      <c r="J9" s="65">
        <f>IF(N(E9)=0,"",IF(H9=0,0,IF(N(I9)=0,H9,H9/I9)))</f>
        <v>634615.384615385</v>
      </c>
      <c r="K9" s="66">
        <f>IF(N(E9)=0,"",MIN(1,G9/E9))</f>
        <v>0.34</v>
      </c>
      <c r="L9" s="95" t="str">
        <f>IF(K9="","",REPT("■",ROUND(K9*10,0))&amp;REPT("□",10-ROUND(K9*10,0)))</f>
        <v>■■■□□□□□□□</v>
      </c>
      <c r="M9" s="96" t="str">
        <f>IF(N(E9)=0,"",IF(G9&gt;=E9,"Достигнута",IF(N(I9)=0,"Срок прошёл","В процессе")))</f>
        <v>В процессе</v>
      </c>
    </row>
    <row r="10" ht="20" customHeight="1">
      <c r="B10" s="91" t="n">
        <v>3</v>
      </c>
      <c r="C10" s="86" t="inlineStr">
        <is>
          <t>Образование детей</t>
        </is>
      </c>
      <c r="D10" s="86" t="inlineStr">
        <is>
          <t>Образование</t>
        </is>
      </c>
      <c r="E10" s="64" t="n">
        <v>15000000</v>
      </c>
      <c r="F10" s="93" t="n">
        <v>48457</v>
      </c>
      <c r="G10" s="64" t="n">
        <v>3200000</v>
      </c>
      <c r="H10" s="65">
        <f>IF(N(E10)=0,"",MAX(0,E10-G10))</f>
        <v>11800000</v>
      </c>
      <c r="I10" s="94">
        <f>IF(F10="","",MAX(0,(YEAR(F10)-YEAR(Старт!$D$21))*12+MONTH(F10)-MONTH(Старт!$D$21)))</f>
        <v>70</v>
      </c>
      <c r="J10" s="65">
        <f>IF(N(E10)=0,"",IF(H10=0,0,IF(N(I10)=0,H10,H10/I10)))</f>
        <v>168571.428571429</v>
      </c>
      <c r="K10" s="66">
        <f>IF(N(E10)=0,"",MIN(1,G10/E10))</f>
        <v>0.213333333333333</v>
      </c>
      <c r="L10" s="95" t="str">
        <f>IF(K10="","",REPT("■",ROUND(K10*10,0))&amp;REPT("□",10-ROUND(K10*10,0)))</f>
        <v>■■□□□□□□□□</v>
      </c>
      <c r="M10" s="96" t="str">
        <f>IF(N(E10)=0,"",IF(G10&gt;=E10,"Достигнута",IF(N(I10)=0,"Срок прошёл","В процессе")))</f>
        <v>В процессе</v>
      </c>
    </row>
    <row r="11" ht="20" customHeight="1">
      <c r="B11" s="91" t="n">
        <v>4</v>
      </c>
      <c r="C11" s="86" t="inlineStr">
        <is>
          <t>Семейное путешествие</t>
        </is>
      </c>
      <c r="D11" s="86" t="inlineStr">
        <is>
          <t>Путешествие</t>
        </is>
      </c>
      <c r="E11" s="64" t="n">
        <v>3500000</v>
      </c>
      <c r="F11" s="93" t="n">
        <v>46568</v>
      </c>
      <c r="G11" s="64" t="n">
        <v>1400000</v>
      </c>
      <c r="H11" s="65">
        <f>IF(N(E11)=0,"",MAX(0,E11-G11))</f>
        <v>2100000</v>
      </c>
      <c r="I11" s="94">
        <f>IF(F11="","",MAX(0,(YEAR(F11)-YEAR(Старт!$D$21))*12+MONTH(F11)-MONTH(Старт!$D$21)))</f>
        <v>8</v>
      </c>
      <c r="J11" s="65">
        <f>IF(N(E11)=0,"",IF(H11=0,0,IF(N(I11)=0,H11,H11/I11)))</f>
        <v>262500</v>
      </c>
      <c r="K11" s="66">
        <f>IF(N(E11)=0,"",MIN(1,G11/E11))</f>
        <v>0.4</v>
      </c>
      <c r="L11" s="95" t="str">
        <f>IF(K11="","",REPT("■",ROUND(K11*10,0))&amp;REPT("□",10-ROUND(K11*10,0)))</f>
        <v>■■■■□□□□□□</v>
      </c>
      <c r="M11" s="96" t="str">
        <f>IF(N(E11)=0,"",IF(G11&gt;=E11,"Достигнута",IF(N(I11)=0,"Срок прошёл","В процессе")))</f>
        <v>В процессе</v>
      </c>
    </row>
    <row r="12" ht="20" customHeight="1">
      <c r="B12" s="91" t="n">
        <v>5</v>
      </c>
      <c r="C12" s="86" t="inlineStr">
        <is>
          <t>Новый автомобиль</t>
        </is>
      </c>
      <c r="D12" s="86" t="inlineStr">
        <is>
          <t>Автомобиль</t>
        </is>
      </c>
      <c r="E12" s="64" t="n">
        <v>22000000</v>
      </c>
      <c r="F12" s="93" t="n">
        <v>47299</v>
      </c>
      <c r="G12" s="64" t="n">
        <v>4000000</v>
      </c>
      <c r="H12" s="65">
        <f>IF(N(E12)=0,"",MAX(0,E12-G12))</f>
        <v>18000000</v>
      </c>
      <c r="I12" s="94">
        <f>IF(F12="","",MAX(0,(YEAR(F12)-YEAR(Старт!$D$21))*12+MONTH(F12)-MONTH(Старт!$D$21)))</f>
        <v>32</v>
      </c>
      <c r="J12" s="65">
        <f>IF(N(E12)=0,"",IF(H12=0,0,IF(N(I12)=0,H12,H12/I12)))</f>
        <v>562500</v>
      </c>
      <c r="K12" s="66">
        <f>IF(N(E12)=0,"",MIN(1,G12/E12))</f>
        <v>0.181818181818182</v>
      </c>
      <c r="L12" s="95" t="str">
        <f>IF(K12="","",REPT("■",ROUND(K12*10,0))&amp;REPT("□",10-ROUND(K12*10,0)))</f>
        <v>■■□□□□□□□□</v>
      </c>
      <c r="M12" s="96" t="str">
        <f>IF(N(E12)=0,"",IF(G12&gt;=E12,"Достигнута",IF(N(I12)=0,"Срок прошёл","В процессе")))</f>
        <v>В процессе</v>
      </c>
    </row>
    <row r="13" ht="20" customHeight="1">
      <c r="B13" s="91" t="n">
        <v>6</v>
      </c>
      <c r="C13" s="86" t="inlineStr">
        <is>
          <t>Капитал на пассивный доход</t>
        </is>
      </c>
      <c r="D13" s="86" t="inlineStr">
        <is>
          <t>Капитал и пенсия</t>
        </is>
      </c>
      <c r="E13" s="64" t="n">
        <v>300000000</v>
      </c>
      <c r="F13" s="93" t="n">
        <v>51501</v>
      </c>
      <c r="G13" s="64" t="n">
        <v>21000000</v>
      </c>
      <c r="H13" s="65">
        <f>IF(N(E13)=0,"",MAX(0,E13-G13))</f>
        <v>279000000</v>
      </c>
      <c r="I13" s="94">
        <f>IF(F13="","",MAX(0,(YEAR(F13)-YEAR(Старт!$D$21))*12+MONTH(F13)-MONTH(Старт!$D$21)))</f>
        <v>170</v>
      </c>
      <c r="J13" s="65">
        <f>IF(N(E13)=0,"",IF(H13=0,0,IF(N(I13)=0,H13,H13/I13)))</f>
        <v>1641176.47058824</v>
      </c>
      <c r="K13" s="66">
        <f>IF(N(E13)=0,"",MIN(1,G13/E13))</f>
        <v>0.07</v>
      </c>
      <c r="L13" s="95" t="str">
        <f>IF(K13="","",REPT("■",ROUND(K13*10,0))&amp;REPT("□",10-ROUND(K13*10,0)))</f>
        <v>■□□□□□□□□□</v>
      </c>
      <c r="M13" s="96" t="str">
        <f>IF(N(E13)=0,"",IF(G13&gt;=E13,"Достигнута",IF(N(I13)=0,"Срок прошёл","В процессе")))</f>
        <v>В процессе</v>
      </c>
    </row>
    <row r="14" ht="20" customHeight="1">
      <c r="B14" s="91" t="n">
        <v>7</v>
      </c>
      <c r="C14" s="86" t="n"/>
      <c r="D14" s="86" t="n"/>
      <c r="E14" s="64" t="n"/>
      <c r="F14" s="93" t="n"/>
      <c r="G14" s="64" t="n"/>
      <c r="H14" s="65" t="str">
        <f>IF(N(E14)=0,"",MAX(0,E14-G14))</f>
        <v/>
      </c>
      <c r="I14" s="94" t="str">
        <f>IF(F14="","",MAX(0,(YEAR(F14)-YEAR(Старт!$D$21))*12+MONTH(F14)-MONTH(Старт!$D$21)))</f>
        <v/>
      </c>
      <c r="J14" s="65" t="str">
        <f>IF(N(E14)=0,"",IF(H14=0,0,IF(N(I14)=0,H14,H14/I14)))</f>
        <v/>
      </c>
      <c r="K14" s="66" t="str">
        <f>IF(N(E14)=0,"",MIN(1,G14/E14))</f>
        <v/>
      </c>
      <c r="L14" s="95" t="str">
        <f>IF(K14="","",REPT("■",ROUND(K14*10,0))&amp;REPT("□",10-ROUND(K14*10,0)))</f>
        <v/>
      </c>
      <c r="M14" s="96" t="str">
        <f>IF(N(E14)=0,"",IF(G14&gt;=E14,"Достигнута",IF(N(I14)=0,"Срок прошёл","В процессе")))</f>
        <v/>
      </c>
    </row>
    <row r="15" ht="20" customHeight="1">
      <c r="B15" s="91" t="n">
        <v>8</v>
      </c>
      <c r="C15" s="86" t="n"/>
      <c r="D15" s="86" t="n"/>
      <c r="E15" s="64" t="n"/>
      <c r="F15" s="93" t="n"/>
      <c r="G15" s="64" t="n"/>
      <c r="H15" s="65" t="str">
        <f>IF(N(E15)=0,"",MAX(0,E15-G15))</f>
        <v/>
      </c>
      <c r="I15" s="94" t="str">
        <f>IF(F15="","",MAX(0,(YEAR(F15)-YEAR(Старт!$D$21))*12+MONTH(F15)-MONTH(Старт!$D$21)))</f>
        <v/>
      </c>
      <c r="J15" s="65" t="str">
        <f>IF(N(E15)=0,"",IF(H15=0,0,IF(N(I15)=0,H15,H15/I15)))</f>
        <v/>
      </c>
      <c r="K15" s="66" t="str">
        <f>IF(N(E15)=0,"",MIN(1,G15/E15))</f>
        <v/>
      </c>
      <c r="L15" s="95" t="str">
        <f>IF(K15="","",REPT("■",ROUND(K15*10,0))&amp;REPT("□",10-ROUND(K15*10,0)))</f>
        <v/>
      </c>
      <c r="M15" s="96" t="str">
        <f>IF(N(E15)=0,"",IF(G15&gt;=E15,"Достигнута",IF(N(I15)=0,"Срок прошёл","В процессе")))</f>
        <v/>
      </c>
    </row>
    <row r="16" ht="20" customHeight="1">
      <c r="B16" s="91" t="n">
        <v>9</v>
      </c>
      <c r="C16" s="86" t="n"/>
      <c r="D16" s="86" t="n"/>
      <c r="E16" s="64" t="n"/>
      <c r="F16" s="93" t="n"/>
      <c r="G16" s="64" t="n"/>
      <c r="H16" s="65" t="str">
        <f>IF(N(E16)=0,"",MAX(0,E16-G16))</f>
        <v/>
      </c>
      <c r="I16" s="94" t="str">
        <f>IF(F16="","",MAX(0,(YEAR(F16)-YEAR(Старт!$D$21))*12+MONTH(F16)-MONTH(Старт!$D$21)))</f>
        <v/>
      </c>
      <c r="J16" s="65" t="str">
        <f>IF(N(E16)=0,"",IF(H16=0,0,IF(N(I16)=0,H16,H16/I16)))</f>
        <v/>
      </c>
      <c r="K16" s="66" t="str">
        <f>IF(N(E16)=0,"",MIN(1,G16/E16))</f>
        <v/>
      </c>
      <c r="L16" s="95" t="str">
        <f>IF(K16="","",REPT("■",ROUND(K16*10,0))&amp;REPT("□",10-ROUND(K16*10,0)))</f>
        <v/>
      </c>
      <c r="M16" s="96" t="str">
        <f>IF(N(E16)=0,"",IF(G16&gt;=E16,"Достигнута",IF(N(I16)=0,"Срок прошёл","В процессе")))</f>
        <v/>
      </c>
    </row>
    <row r="17" ht="20" customHeight="1">
      <c r="B17" s="91" t="n">
        <v>10</v>
      </c>
      <c r="C17" s="86" t="n"/>
      <c r="D17" s="86" t="n"/>
      <c r="E17" s="64" t="n"/>
      <c r="F17" s="93" t="n"/>
      <c r="G17" s="64" t="n"/>
      <c r="H17" s="65" t="str">
        <f>IF(N(E17)=0,"",MAX(0,E17-G17))</f>
        <v/>
      </c>
      <c r="I17" s="94" t="str">
        <f>IF(F17="","",MAX(0,(YEAR(F17)-YEAR(Старт!$D$21))*12+MONTH(F17)-MONTH(Старт!$D$21)))</f>
        <v/>
      </c>
      <c r="J17" s="65" t="str">
        <f>IF(N(E17)=0,"",IF(H17=0,0,IF(N(I17)=0,H17,H17/I17)))</f>
        <v/>
      </c>
      <c r="K17" s="66" t="str">
        <f>IF(N(E17)=0,"",MIN(1,G17/E17))</f>
        <v/>
      </c>
      <c r="L17" s="95" t="str">
        <f>IF(K17="","",REPT("■",ROUND(K17*10,0))&amp;REPT("□",10-ROUND(K17*10,0)))</f>
        <v/>
      </c>
      <c r="M17" s="96" t="str">
        <f>IF(N(E17)=0,"",IF(G17&gt;=E17,"Достигнута",IF(N(I17)=0,"Срок прошёл","В процессе")))</f>
        <v/>
      </c>
    </row>
    <row r="18">
      <c r="B18" s="67" t="n"/>
      <c r="C18" s="67" t="inlineStr">
        <is>
          <t>ИТОГО ПО ЦЕЛЯМ</t>
        </is>
      </c>
      <c r="D18" s="67" t="n"/>
      <c r="E18" s="67">
        <f>SUM(E8:E17)</f>
        <v>378740000</v>
      </c>
      <c r="F18" s="67" t="n"/>
      <c r="G18" s="67">
        <f>SUM(G8:G17)</f>
        <v>58440000</v>
      </c>
      <c r="H18" s="67">
        <f>SUM(H8:H17)</f>
        <v>327400000</v>
      </c>
      <c r="I18" s="67" t="n"/>
      <c r="J18" s="67">
        <f>SUM(J8:J17)</f>
        <v>3269363.28377505</v>
      </c>
      <c r="K18" s="68">
        <f>IF(E18=0,0,G18/E18)</f>
        <v>0.154301103659503</v>
      </c>
      <c r="L18" s="67" t="n"/>
      <c r="M18" s="67" t="n"/>
    </row>
    <row r="20">
      <c r="C20" s="85" t="inlineStr">
        <is>
          <t>ХВАТАЕТ ЛИ СБЕРЕЖЕНИЙ НА ЦЕЛИ</t>
        </is>
      </c>
    </row>
    <row r="21" ht="20" customHeight="1">
      <c r="C21" s="56" t="inlineStr">
        <is>
          <t>Нужно откладывать на все цели в месяц</t>
        </is>
      </c>
      <c r="D21" s="28" t="n"/>
      <c r="E21" s="97">
        <f>J18</f>
        <v>3269363.28377505</v>
      </c>
      <c r="G21" s="98" t="inlineStr">
        <is>
          <t>Если покрытие меньше 100%: сдвиньте сроки, уменьшите суммы или увеличьте норму сбережений. Цели расставьте по приоритету: сначала подушка, потом остальное.</t>
        </is>
      </c>
    </row>
    <row r="22" ht="20" customHeight="1">
      <c r="C22" s="56" t="inlineStr">
        <is>
          <t>Ваши средние сбережения в месяц</t>
        </is>
      </c>
      <c r="D22" s="28" t="n"/>
      <c r="E22" s="97">
        <f>Год!$H$21</f>
        <v>1106500</v>
      </c>
    </row>
    <row r="23" ht="20" customHeight="1">
      <c r="C23" s="56" t="inlineStr">
        <is>
          <t>Покрытие целей сбережениями</t>
        </is>
      </c>
      <c r="D23" s="28" t="n"/>
      <c r="E23" s="99">
        <f>IF(J18=0,0,Год!$H$21/J18)</f>
        <v>0.338445105042702</v>
      </c>
    </row>
    <row r="24" ht="20" customHeight="1">
      <c r="C24" s="56" t="inlineStr">
        <is>
          <t>Разница в месяц</t>
        </is>
      </c>
      <c r="D24" s="28" t="n"/>
      <c r="E24" s="97">
        <f>Год!$H$21-J18</f>
        <v>-2162863.28377505</v>
      </c>
    </row>
    <row r="26">
      <c r="B26" s="31" t="inlineStr">
        <is>
          <t>© Business Surgery · bxclub.kz</t>
        </is>
      </c>
      <c r="C26" s="32" t="n"/>
      <c r="D26" s="32" t="n"/>
      <c r="E26" s="32" t="n"/>
      <c r="F26" s="32" t="n"/>
      <c r="G26" s="32" t="n"/>
      <c r="H26" s="32" t="n"/>
      <c r="I26" s="32" t="n"/>
      <c r="J26" s="32" t="n"/>
      <c r="K26" s="32" t="n"/>
      <c r="L26" s="32" t="n"/>
      <c r="M26" s="33" t="inlineStr">
        <is>
          <t>Шаблон для резидентов клуба</t>
        </is>
      </c>
    </row>
  </sheetData>
  <mergeCells count="5">
    <mergeCell ref="C24:D24"/>
    <mergeCell ref="C21:D21"/>
    <mergeCell ref="G21:M23"/>
    <mergeCell ref="C22:D22"/>
    <mergeCell ref="C23:D23"/>
  </mergeCells>
  <conditionalFormatting sqref="K8:K17">
    <cfRule type="dataBar" priority="1">
      <dataBar showValue="1">
        <cfvo type="num" val="0"/>
        <cfvo type="num" val="1"/>
        <color rgb="007F7F7F"/>
      </dataBar>
    </cfRule>
  </conditionalFormatting>
  <conditionalFormatting sqref="M8:M17">
    <cfRule type="cellIs" priority="2" operator="equal" dxfId="0">
      <formula>"Срок прошёл"</formula>
    </cfRule>
    <cfRule type="cellIs" priority="3" operator="equal" dxfId="1">
      <formula>"Достигнута"</formula>
    </cfRule>
  </conditionalFormatting>
  <conditionalFormatting sqref="E24">
    <cfRule type="cellIs" priority="4" operator="lessThan" dxfId="0">
      <formula>0</formula>
    </cfRule>
  </conditionalFormatting>
  <conditionalFormatting sqref="E23">
    <cfRule type="cellIs" priority="5" operator="lessThan" dxfId="0">
      <formula>1</formula>
    </cfRule>
  </conditionalFormatting>
  <dataValidations count="3">
    <dataValidation sqref="D8:D17" showDropDown="0" showInputMessage="0" showErrorMessage="1" allowBlank="1" errorTitle="Категория" error="Выберите категорию из списка" type="list">
      <formula1>"Подушка безопасности,Недвижимость,Автомобиль,Образование,Путешествие,Капитал и пенсия,Бизнес,Семья,Другое"</formula1>
    </dataValidation>
    <dataValidation sqref="F8:F17" showDropDown="0" showInputMessage="0" showErrorMessage="1" allowBlank="1" errorTitle="Срок" error="Введите дату в формате ДД.ММ.ГГГГ" type="date" operator="greaterThan">
      <formula1>36526</formula1>
    </dataValidation>
    <dataValidation sqref="E9:E17 G8:G17" showDropDown="0" showInputMessage="0" showErrorMessage="1" allowBlank="1" errorTitle="Сумма" error="Введите сумму в тенге" type="decimal" operator="greaterThanOrEqual">
      <formula1>0</formula1>
    </dataValidation>
  </dataValidations>
  <printOptions horizontalCentered="1"/>
  <pageMargins left="0.4" right="0.4" top="0.6" bottom="0.6" header="0.5" footer="0.5"/>
  <pageSetup orientation="landscape" paperSize="9" fitToHeight="1" fitToWidth="1"/>
  <headerFooter differentFirst="1">
    <oddHeader/>
    <oddFooter>&amp;L&amp;"Arial"&amp;8 © Business Surgery · bxclub.kz&amp;R&amp;"Arial"&amp;8 стр. &amp;P из &amp;N</oddFooter>
    <evenHeader/>
    <evenFooter/>
    <firstHeader/>
    <firstFooter>&amp;L&amp;"Arial"&amp;8 © Business Surgery · bxclub.kz&amp;R&amp;"Arial"&amp;8 стр. &amp;P из &amp;N</firstFooter>
  </headerFooter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000000"/>
    <outlinePr summaryBelow="1" summaryRight="1"/>
    <pageSetUpPr fitToPage="1"/>
  </sheetPr>
  <dimension ref="A1:J29"/>
  <sheetViews>
    <sheetView showGridLines="0" tabSelected="0" zoomScale="90" workbookViewId="0">
      <selection activeCell="A1" sqref="A1"/>
    </sheetView>
  </sheetViews>
  <sheetFormatPr baseColWidth="8" defaultRowHeight="15"/>
  <cols>
    <col width="2.5" customWidth="1" min="1" max="1"/>
    <col width="7" customWidth="1" min="2" max="2"/>
    <col width="34" customWidth="1" min="3" max="3"/>
    <col width="16" customWidth="1" min="4" max="4"/>
    <col width="14" customWidth="1" min="5" max="5"/>
    <col width="20" customWidth="1" min="6" max="6"/>
    <col width="6" customWidth="1" min="7" max="7"/>
    <col width="26" customWidth="1" min="8" max="8"/>
    <col width="12" customWidth="1" min="9" max="9"/>
    <col width="16" customWidth="1" min="10" max="10"/>
  </cols>
  <sheetData>
    <row r="1" ht="30" customHeight="1">
      <c r="A1" s="1" t="n"/>
      <c r="B1" s="2" t="inlineStr">
        <is>
          <t>BUSINESS SURGERY · Личный финансовый план</t>
        </is>
      </c>
      <c r="C1" s="1" t="n"/>
      <c r="D1" s="1" t="n"/>
      <c r="E1" s="1" t="n"/>
      <c r="F1" s="1" t="n"/>
      <c r="G1" s="1" t="n"/>
      <c r="H1" s="1" t="n"/>
      <c r="I1" s="1" t="n"/>
      <c r="J1" s="3" t="str">
        <f>IF(Старт!$D$15="","",Старт!$D$15&amp;"  ·  ")&amp;Старт!$D$16&amp;" год"</f>
        <v>Ваше имя  ·  2026 год</v>
      </c>
    </row>
    <row r="2" ht="10" customHeight="1"/>
    <row r="3" ht="32" customHeight="1">
      <c r="B3" s="5" t="inlineStr">
        <is>
          <t>Правила</t>
        </is>
      </c>
    </row>
    <row r="4">
      <c r="B4" s="6" t="inlineStr">
        <is>
          <t>Короткие правила личных финансов для собственника бизнеса. Проверено на практике, без теории</t>
        </is>
      </c>
    </row>
    <row r="5" ht="10" customHeight="1"/>
    <row r="7" ht="44" customHeight="1">
      <c r="B7" s="100" t="inlineStr">
        <is>
          <t>01</t>
        </is>
      </c>
      <c r="C7" s="101" t="inlineStr">
        <is>
          <t>Разделите деньги бизнеса и личные</t>
        </is>
      </c>
      <c r="D7" s="27" t="inlineStr">
        <is>
          <t>Отдельные счета и карты. Бизнес не оплачивает личные покупки, вы не кредитуете бизнес из семейного бюджета без договора займа. Деньги из кассы себе не берутся.</t>
        </is>
      </c>
      <c r="E7" s="28" t="n"/>
      <c r="F7" s="28" t="n"/>
      <c r="G7" s="28" t="n"/>
      <c r="H7" s="28" t="n"/>
      <c r="I7" s="28" t="n"/>
      <c r="J7" s="28" t="n"/>
    </row>
    <row r="8" ht="44" customHeight="1">
      <c r="B8" s="100" t="inlineStr">
        <is>
          <t>02</t>
        </is>
      </c>
      <c r="C8" s="101" t="inlineStr">
        <is>
          <t>Платите себе зарплату собственника</t>
        </is>
      </c>
      <c r="D8" s="27" t="inlineStr">
        <is>
          <t>Фиксированная сумма в один и тот же день месяца, независимо от выручки. Сверху, раз в квартал, дивиденды из накопленной прибыли.</t>
        </is>
      </c>
      <c r="E8" s="28" t="n"/>
      <c r="F8" s="28" t="n"/>
      <c r="G8" s="28" t="n"/>
      <c r="H8" s="28" t="n"/>
      <c r="I8" s="28" t="n"/>
      <c r="J8" s="28" t="n"/>
    </row>
    <row r="9" ht="44" customHeight="1">
      <c r="B9" s="100" t="inlineStr">
        <is>
          <t>03</t>
        </is>
      </c>
      <c r="C9" s="101" t="inlineStr">
        <is>
          <t>Profit First: сначала прибыль</t>
        </is>
      </c>
      <c r="D9" s="27" t="inlineStr">
        <is>
          <t>С каждого поступления выручки сразу распределяйте деньги по счетам: прибыль, зарплата собственника, налоги, операционные расходы. Расходы бизнеса живут на остатке, а не наоборот. Калькулятор ниже.</t>
        </is>
      </c>
      <c r="E9" s="28" t="n"/>
      <c r="F9" s="28" t="n"/>
      <c r="G9" s="28" t="n"/>
      <c r="H9" s="28" t="n"/>
      <c r="I9" s="28" t="n"/>
      <c r="J9" s="28" t="n"/>
    </row>
    <row r="10" ht="44" customHeight="1">
      <c r="B10" s="100" t="inlineStr">
        <is>
          <t>04</t>
        </is>
      </c>
      <c r="C10" s="101" t="inlineStr">
        <is>
          <t>Сначала заплатите себе</t>
        </is>
      </c>
      <c r="D10" s="27" t="inlineStr">
        <is>
          <t>В день получения личного дохода переводите 20-30% на сберегательный счёт. Тратится то, что осталось. Норма сбережений на Дашборде должна быть не ниже цели со Старта.</t>
        </is>
      </c>
      <c r="E10" s="28" t="n"/>
      <c r="F10" s="28" t="n"/>
      <c r="G10" s="28" t="n"/>
      <c r="H10" s="28" t="n"/>
      <c r="I10" s="28" t="n"/>
      <c r="J10" s="28" t="n"/>
    </row>
    <row r="11" ht="44" customHeight="1">
      <c r="B11" s="100" t="inlineStr">
        <is>
          <t>05</t>
        </is>
      </c>
      <c r="C11" s="101" t="inlineStr">
        <is>
          <t>Подушка безопасности: 6 месяцев</t>
        </is>
      </c>
      <c r="D11" s="27" t="inlineStr">
        <is>
          <t>Шесть месяцев личных расходов на депозите с быстрым снятием, для предпринимателя лучше 6-12. Подушку не инвестируют и не дают в долг, в том числе своему бизнесу.</t>
        </is>
      </c>
      <c r="E11" s="28" t="n"/>
      <c r="F11" s="28" t="n"/>
      <c r="G11" s="28" t="n"/>
      <c r="H11" s="28" t="n"/>
      <c r="I11" s="28" t="n"/>
      <c r="J11" s="28" t="n"/>
    </row>
    <row r="12" ht="44" customHeight="1">
      <c r="B12" s="100" t="inlineStr">
        <is>
          <t>06</t>
        </is>
      </c>
      <c r="C12" s="101" t="inlineStr">
        <is>
          <t>Инвестируйте регулярно и не только в свой бизнес</t>
        </is>
      </c>
      <c r="D12" s="27" t="inlineStr">
        <is>
          <t>От 10% дохода ежемесячно в инструменты вне вашей компании: депозиты, облигации, акции и ETF, недвижимость. Часть капитала держите в валюте. Если бизнес даёт больше 80% дохода, это риск.</t>
        </is>
      </c>
      <c r="E12" s="28" t="n"/>
      <c r="F12" s="28" t="n"/>
      <c r="G12" s="28" t="n"/>
      <c r="H12" s="28" t="n"/>
      <c r="I12" s="28" t="n"/>
      <c r="J12" s="28" t="n"/>
    </row>
    <row r="13" ht="44" customHeight="1">
      <c r="B13" s="100" t="inlineStr">
        <is>
          <t>07</t>
        </is>
      </c>
      <c r="C13" s="101" t="inlineStr">
        <is>
          <t>Кредиты под контролем</t>
        </is>
      </c>
      <c r="D13" s="27" t="inlineStr">
        <is>
          <t>Платежи по личным кредитам не больше 30% личного дохода. Не берите потребительские кредиты на нужды бизнеса. Рассрочка без переплаты только если сумма уже есть на счету.</t>
        </is>
      </c>
      <c r="E13" s="28" t="n"/>
      <c r="F13" s="28" t="n"/>
      <c r="G13" s="28" t="n"/>
      <c r="H13" s="28" t="n"/>
      <c r="I13" s="28" t="n"/>
      <c r="J13" s="28" t="n"/>
    </row>
    <row r="14" ht="44" customHeight="1">
      <c r="B14" s="100" t="inlineStr">
        <is>
          <t>08</t>
        </is>
      </c>
      <c r="C14" s="101" t="inlineStr">
        <is>
          <t>Бюджет на месяц вперёд, факт каждую неделю</t>
        </is>
      </c>
      <c r="D14" s="27" t="inlineStr">
        <is>
          <t>15 минут в неделю: внесите факт расходов из банковских выписок. Раз в месяц обновите капитал, раз в квартал пересмотрите цели и бюджет.</t>
        </is>
      </c>
      <c r="E14" s="28" t="n"/>
      <c r="F14" s="28" t="n"/>
      <c r="G14" s="28" t="n"/>
      <c r="H14" s="28" t="n"/>
      <c r="I14" s="28" t="n"/>
      <c r="J14" s="28" t="n"/>
    </row>
    <row r="15" ht="44" customHeight="1">
      <c r="B15" s="100" t="inlineStr">
        <is>
          <t>09</t>
        </is>
      </c>
      <c r="C15" s="101" t="inlineStr">
        <is>
          <t>Правило 72 часов для крупных покупок</t>
        </is>
      </c>
      <c r="D15" s="27" t="inlineStr">
        <is>
          <t>Любая незапланированная покупка дороже 5% месячного дохода ждёт трое суток. Половина желаний за это время исчезает.</t>
        </is>
      </c>
      <c r="E15" s="28" t="n"/>
      <c r="F15" s="28" t="n"/>
      <c r="G15" s="28" t="n"/>
      <c r="H15" s="28" t="n"/>
      <c r="I15" s="28" t="n"/>
      <c r="J15" s="28" t="n"/>
    </row>
    <row r="16" ht="44" customHeight="1">
      <c r="B16" s="100" t="inlineStr">
        <is>
          <t>10</t>
        </is>
      </c>
      <c r="C16" s="101" t="inlineStr">
        <is>
          <t>Считайте капитал, а не доход</t>
        </is>
      </c>
      <c r="D16" s="27" t="inlineStr">
        <is>
          <t>Главная цифра плана: рост чистого капитала за год. Высокий доход без роста капитала означает, что деньги проходят мимо вас.</t>
        </is>
      </c>
      <c r="E16" s="28" t="n"/>
      <c r="F16" s="28" t="n"/>
      <c r="G16" s="28" t="n"/>
      <c r="H16" s="28" t="n"/>
      <c r="I16" s="28" t="n"/>
      <c r="J16" s="28" t="n"/>
    </row>
    <row r="18">
      <c r="B18" s="102" t="inlineStr">
        <is>
          <t>ПРОВЕРКА ПО ВАШИМ ЦИФРАМ</t>
        </is>
      </c>
      <c r="H18" s="85" t="inlineStr">
        <is>
          <t>КАЛЬКУЛЯТОР PROFIT FIRST</t>
        </is>
      </c>
    </row>
    <row r="19" ht="24" customHeight="1">
      <c r="B19" s="59" t="inlineStr"/>
      <c r="C19" s="60" t="inlineStr">
        <is>
          <t>Показатель</t>
        </is>
      </c>
      <c r="D19" s="60" t="inlineStr">
        <is>
          <t>Сейчас</t>
        </is>
      </c>
      <c r="E19" s="60" t="inlineStr">
        <is>
          <t>Ориентир</t>
        </is>
      </c>
      <c r="F19" s="60" t="inlineStr">
        <is>
          <t>Статус</t>
        </is>
      </c>
      <c r="H19" s="59" t="inlineStr">
        <is>
          <t>Счёт</t>
        </is>
      </c>
      <c r="I19" s="60" t="inlineStr">
        <is>
          <t>Доля</t>
        </is>
      </c>
      <c r="J19" s="60" t="inlineStr">
        <is>
          <t>Сумма</t>
        </is>
      </c>
    </row>
    <row r="20" ht="20" customHeight="1">
      <c r="B20" s="103" t="inlineStr">
        <is>
          <t>01</t>
        </is>
      </c>
      <c r="C20" s="56" t="inlineStr">
        <is>
          <t>Норма сбережений за год</t>
        </is>
      </c>
      <c r="D20" s="104">
        <f>Год!$I$20</f>
        <v>0.333962121783747</v>
      </c>
      <c r="E20" s="84">
        <f>Старт!$D$18</f>
        <v>0.25</v>
      </c>
      <c r="F20" s="105" t="str">
        <f>IF(D20&gt;=E20,"В норме","Ниже цели")</f>
        <v>В норме</v>
      </c>
      <c r="H20" s="34" t="inlineStr">
        <is>
          <t>Поступление выручки</t>
        </is>
      </c>
      <c r="J20" s="106" t="n">
        <v>5000000</v>
      </c>
    </row>
    <row r="21" ht="20" customHeight="1">
      <c r="B21" s="103" t="inlineStr">
        <is>
          <t>02</t>
        </is>
      </c>
      <c r="C21" s="56" t="inlineStr">
        <is>
          <t>Подушка безопасности</t>
        </is>
      </c>
      <c r="D21" s="107">
        <f>INDEX(Капитал!$D$37:$O$37,Старт!$D$22)</f>
        <v>9.21717457799932</v>
      </c>
      <c r="E21" s="108">
        <f>Старт!$D$19</f>
        <v>6</v>
      </c>
      <c r="F21" s="105" t="str">
        <f>IF(D21&gt;=E21,"В норме","Мало")</f>
        <v>В норме</v>
      </c>
      <c r="H21" s="56" t="inlineStr">
        <is>
          <t>Прибыль</t>
        </is>
      </c>
      <c r="I21" s="109" t="n">
        <v>0.05</v>
      </c>
      <c r="J21" s="72">
        <f>$J$20*I21</f>
        <v>250000</v>
      </c>
    </row>
    <row r="22" ht="20" customHeight="1">
      <c r="B22" s="103" t="inlineStr">
        <is>
          <t>03</t>
        </is>
      </c>
      <c r="C22" s="56" t="inlineStr">
        <is>
          <t>Кредитная нагрузка</t>
        </is>
      </c>
      <c r="D22" s="104">
        <f>IF(Год!$C$20=0,0,Расходы!$P$47/Год!$C$20)</f>
        <v>0.0852637138761035</v>
      </c>
      <c r="E22" s="84">
        <f>Старт!$D$20</f>
        <v>0.3</v>
      </c>
      <c r="F22" s="105" t="str">
        <f>IF(D22&lt;=E22,"В норме","Высокая")</f>
        <v>В норме</v>
      </c>
      <c r="H22" s="56" t="inlineStr">
        <is>
          <t>Зарплата собственника</t>
        </is>
      </c>
      <c r="I22" s="109" t="n">
        <v>0.5</v>
      </c>
      <c r="J22" s="72">
        <f>$J$20*I22</f>
        <v>2500000</v>
      </c>
    </row>
    <row r="23" ht="20" customHeight="1">
      <c r="B23" s="103" t="inlineStr">
        <is>
          <t>04</t>
        </is>
      </c>
      <c r="C23" s="56" t="inlineStr">
        <is>
          <t>Доля бизнеса в доходе</t>
        </is>
      </c>
      <c r="D23" s="104">
        <f>IF(Год!$C$20=0,0,Год!$D$20/Год!$C$20)</f>
        <v>0.605271762368269</v>
      </c>
      <c r="E23" s="84" t="n">
        <v>0.8</v>
      </c>
      <c r="F23" s="105" t="str">
        <f>IF(D23&lt;=E23,"В норме","Мало диверсификации")</f>
        <v>В норме</v>
      </c>
      <c r="H23" s="56" t="inlineStr">
        <is>
          <t>Налоги</t>
        </is>
      </c>
      <c r="I23" s="109" t="n">
        <v>0.15</v>
      </c>
      <c r="J23" s="72">
        <f>$J$20*I23</f>
        <v>750000</v>
      </c>
    </row>
    <row r="24" ht="20" customHeight="1">
      <c r="B24" s="103" t="inlineStr">
        <is>
          <t>05</t>
        </is>
      </c>
      <c r="C24" s="56" t="inlineStr">
        <is>
          <t>Рост чистого капитала с января</t>
        </is>
      </c>
      <c r="D24" s="72">
        <f>Капитал!$P$35</f>
        <v>27956000</v>
      </c>
      <c r="E24" s="110" t="n">
        <v>0</v>
      </c>
      <c r="F24" s="105" t="str">
        <f>IF(D24&gt;E24,"Растёт","Не растёт")</f>
        <v>Растёт</v>
      </c>
      <c r="H24" s="56" t="inlineStr">
        <is>
          <t>Операционные расходы</t>
        </is>
      </c>
      <c r="I24" s="109" t="n">
        <v>0.3</v>
      </c>
      <c r="J24" s="72">
        <f>$J$20*I24</f>
        <v>1500000</v>
      </c>
    </row>
    <row r="25">
      <c r="H25" s="67" t="inlineStr">
        <is>
          <t>Проверка: сумма долей</t>
        </is>
      </c>
      <c r="I25" s="68">
        <f>SUM(I21:I24)</f>
        <v>1</v>
      </c>
      <c r="J25" s="67">
        <f>SUM(J21:J24)</f>
        <v>5000000</v>
      </c>
    </row>
    <row r="26">
      <c r="H26" s="9" t="inlineStr">
        <is>
          <t>Ориентир для малого бизнеса. Подберите доли</t>
        </is>
      </c>
    </row>
    <row r="27">
      <c r="H27" s="9" t="inlineStr">
        <is>
          <t>под свою маржу: начните с 1-5% прибыли</t>
        </is>
      </c>
    </row>
    <row r="28">
      <c r="H28" s="9" t="inlineStr">
        <is>
          <t>и повышайте раз в квартал.</t>
        </is>
      </c>
    </row>
    <row r="29">
      <c r="B29" s="31" t="inlineStr">
        <is>
          <t>© Business Surgery · bxclub.kz</t>
        </is>
      </c>
      <c r="C29" s="32" t="n"/>
      <c r="D29" s="32" t="n"/>
      <c r="E29" s="32" t="n"/>
      <c r="F29" s="32" t="n"/>
      <c r="G29" s="32" t="n"/>
      <c r="H29" s="32" t="n"/>
      <c r="I29" s="32" t="n"/>
      <c r="J29" s="33" t="inlineStr">
        <is>
          <t>Шаблон для резидентов клуба</t>
        </is>
      </c>
    </row>
  </sheetData>
  <mergeCells count="10">
    <mergeCell ref="D14:J14"/>
    <mergeCell ref="D9:J9"/>
    <mergeCell ref="D12:J12"/>
    <mergeCell ref="D7:J7"/>
    <mergeCell ref="D8:J8"/>
    <mergeCell ref="D13:J13"/>
    <mergeCell ref="D16:J16"/>
    <mergeCell ref="D10:J10"/>
    <mergeCell ref="D15:J15"/>
    <mergeCell ref="D11:J11"/>
  </mergeCells>
  <conditionalFormatting sqref="F20:F24">
    <cfRule type="expression" priority="1" dxfId="0">
      <formula>AND(F20&lt;&gt;"В норме",F20&lt;&gt;"Растёт")</formula>
    </cfRule>
  </conditionalFormatting>
  <conditionalFormatting sqref="I25">
    <cfRule type="expression" priority="2" dxfId="2">
      <formula>ROUND(I25,4)&lt;&gt;1</formula>
    </cfRule>
  </conditionalFormatting>
  <dataValidations count="1">
    <dataValidation sqref="I21:I24" showDropDown="0" showInputMessage="0" showErrorMessage="1" allowBlank="0" errorTitle="Доля" error="Введите процент от 0% до 100%" type="decimal" operator="between">
      <formula1>0</formula1>
      <formula2>1</formula2>
    </dataValidation>
  </dataValidations>
  <printOptions horizontalCentered="1"/>
  <pageMargins left="0.4" right="0.4" top="0.6" bottom="0.6" header="0.5" footer="0.5"/>
  <pageSetup orientation="landscape" paperSize="9" fitToHeight="1" fitToWidth="1"/>
  <headerFooter differentFirst="1">
    <oddHeader/>
    <oddFooter>&amp;L&amp;"Arial"&amp;8 © Business Surgery · bxclub.kz&amp;R&amp;"Arial"&amp;8 стр. &amp;P из &amp;N</oddFooter>
    <evenHeader/>
    <evenFooter/>
    <firstHeader/>
    <firstFooter>&amp;L&amp;"Arial"&amp;8 © Business Surgery · bxclub.kz&amp;R&amp;"Arial"&amp;8 стр. &amp;P из &amp;N</firstFooter>
  </headerFooter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000000"/>
    <outlinePr summaryBelow="1" summaryRight="1"/>
    <pageSetUpPr fitToPage="1"/>
  </sheetPr>
  <dimension ref="A1:N39"/>
  <sheetViews>
    <sheetView showGridLines="0" tabSelected="0" zoomScale="9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1" customWidth="1" min="9" max="9"/>
    <col width="20" customWidth="1" min="10" max="10"/>
    <col width="14" customWidth="1" min="11" max="11"/>
    <col width="14" customWidth="1" min="12" max="12"/>
    <col hidden="1" width="13" customWidth="1" min="14" max="14"/>
  </cols>
  <sheetData>
    <row r="1" ht="30" customHeight="1">
      <c r="A1" s="1" t="n"/>
      <c r="B1" s="2" t="inlineStr">
        <is>
          <t>BUSINESS SURGERY · Личный финансовый план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3" t="str">
        <f>IF(Старт!$D$15="","",Старт!$D$15&amp;"  ·  ")&amp;Старт!$D$16&amp;" год"</f>
        <v>Ваше имя  ·  2026 год</v>
      </c>
    </row>
    <row r="2" ht="10" customHeight="1"/>
    <row r="3" ht="32" customHeight="1">
      <c r="B3" s="5" t="inlineStr">
        <is>
          <t>Итоги года</t>
        </is>
      </c>
    </row>
    <row r="4">
      <c r="B4" s="6" t="inlineStr">
        <is>
          <t>Помесячная сводка: собирается автоматически из листов Доходы, Расходы и Капитал</t>
        </is>
      </c>
    </row>
    <row r="5" ht="14" customHeight="1">
      <c r="B5" s="73" t="inlineStr">
        <is>
          <t>Месяц на Дашборде:</t>
        </is>
      </c>
      <c r="D5" s="111">
        <f>IFERROR(MATCH(Дашборд!$E$6,$B$8:$B$19,0),1)</f>
        <v>12</v>
      </c>
    </row>
    <row r="7" ht="32" customHeight="1">
      <c r="B7" s="59" t="inlineStr">
        <is>
          <t>Месяц</t>
        </is>
      </c>
      <c r="C7" s="60" t="inlineStr">
        <is>
          <t>Доходы</t>
        </is>
      </c>
      <c r="D7" s="60" t="inlineStr">
        <is>
          <t>из них бизнес</t>
        </is>
      </c>
      <c r="E7" s="60" t="inlineStr">
        <is>
          <t>Расходы</t>
        </is>
      </c>
      <c r="F7" s="60" t="inlineStr">
        <is>
          <t>Бюджет расходов</t>
        </is>
      </c>
      <c r="G7" s="60" t="inlineStr">
        <is>
          <t>Отклонение от бюджета</t>
        </is>
      </c>
      <c r="H7" s="60" t="inlineStr">
        <is>
          <t>Сбережения</t>
        </is>
      </c>
      <c r="I7" s="60" t="inlineStr">
        <is>
          <t>Норма сбережений</t>
        </is>
      </c>
      <c r="J7" s="60" t="inlineStr">
        <is>
          <t>Чистый капитал</t>
        </is>
      </c>
      <c r="K7" s="60" t="inlineStr">
        <is>
          <t>Изменение капитала</t>
        </is>
      </c>
      <c r="L7" s="60" t="inlineStr">
        <is>
          <t>Деньги (подушка)</t>
        </is>
      </c>
    </row>
    <row r="8" ht="20" customHeight="1">
      <c r="B8" s="112" t="inlineStr">
        <is>
          <t>Январь</t>
        </is>
      </c>
      <c r="C8" s="113">
        <f>Доходы!D25</f>
        <v>2761000</v>
      </c>
      <c r="D8" s="113">
        <f>Доходы!D8</f>
        <v>1561000</v>
      </c>
      <c r="E8" s="113">
        <f>Расходы!D55</f>
        <v>2116000</v>
      </c>
      <c r="F8" s="113">
        <f>IF(E8=0,0,Расходы!$C$55)</f>
        <v>2246000</v>
      </c>
      <c r="G8" s="113">
        <f>F8-E8</f>
        <v>130000</v>
      </c>
      <c r="H8" s="113">
        <f>C8-E8</f>
        <v>645000</v>
      </c>
      <c r="I8" s="114">
        <f>IF(C8=0,0,H8/C8)</f>
        <v>0.233611010503441</v>
      </c>
      <c r="J8" s="113">
        <f>Капитал!D35</f>
        <v>143299000</v>
      </c>
      <c r="K8" s="113">
        <f>Капитал!D36</f>
        <v>0</v>
      </c>
      <c r="L8" s="113">
        <f>Капитал!D9</f>
        <v>12019000</v>
      </c>
      <c r="N8" s="115" t="inlineStr">
        <is>
          <t>Янв</t>
        </is>
      </c>
    </row>
    <row r="9" ht="20" customHeight="1">
      <c r="B9" s="116" t="inlineStr">
        <is>
          <t>Февраль</t>
        </is>
      </c>
      <c r="C9" s="117">
        <f>Доходы!E25</f>
        <v>2861000</v>
      </c>
      <c r="D9" s="117">
        <f>Доходы!E8</f>
        <v>1707000</v>
      </c>
      <c r="E9" s="117">
        <f>Расходы!E55</f>
        <v>2135000</v>
      </c>
      <c r="F9" s="117">
        <f>IF(E9=0,0,Расходы!$C$55)</f>
        <v>2246000</v>
      </c>
      <c r="G9" s="117">
        <f>F9-E9</f>
        <v>111000</v>
      </c>
      <c r="H9" s="117">
        <f>C9-E9</f>
        <v>726000</v>
      </c>
      <c r="I9" s="118">
        <f>IF(C9=0,0,H9/C9)</f>
        <v>0.253757427472912</v>
      </c>
      <c r="J9" s="117">
        <f>Капитал!E35</f>
        <v>145196000</v>
      </c>
      <c r="K9" s="117">
        <f>Капитал!E36</f>
        <v>1897000</v>
      </c>
      <c r="L9" s="117">
        <f>Капитал!E9</f>
        <v>12846000</v>
      </c>
      <c r="N9" s="115" t="inlineStr">
        <is>
          <t>Фев</t>
        </is>
      </c>
    </row>
    <row r="10" ht="20" customHeight="1">
      <c r="B10" s="112" t="inlineStr">
        <is>
          <t>Март</t>
        </is>
      </c>
      <c r="C10" s="113">
        <f>Доходы!F25</f>
        <v>3508000</v>
      </c>
      <c r="D10" s="113">
        <f>Доходы!F8</f>
        <v>1963000</v>
      </c>
      <c r="E10" s="113">
        <f>Расходы!F55</f>
        <v>2688000</v>
      </c>
      <c r="F10" s="113">
        <f>IF(E10=0,0,Расходы!$C$55)</f>
        <v>2246000</v>
      </c>
      <c r="G10" s="113">
        <f>F10-E10</f>
        <v>-442000</v>
      </c>
      <c r="H10" s="113">
        <f>C10-E10</f>
        <v>820000</v>
      </c>
      <c r="I10" s="114">
        <f>IF(C10=0,0,H10/C10)</f>
        <v>0.233751425313569</v>
      </c>
      <c r="J10" s="113">
        <f>Капитал!F35</f>
        <v>147272000</v>
      </c>
      <c r="K10" s="113">
        <f>Капитал!F36</f>
        <v>2076000</v>
      </c>
      <c r="L10" s="113">
        <f>Капитал!F9</f>
        <v>13852000</v>
      </c>
      <c r="N10" s="115" t="inlineStr">
        <is>
          <t>Мар</t>
        </is>
      </c>
    </row>
    <row r="11" ht="20" customHeight="1">
      <c r="B11" s="116" t="inlineStr">
        <is>
          <t>Апрель</t>
        </is>
      </c>
      <c r="C11" s="117">
        <f>Доходы!G25</f>
        <v>3190000</v>
      </c>
      <c r="D11" s="117">
        <f>Доходы!G8</f>
        <v>1876000</v>
      </c>
      <c r="E11" s="117">
        <f>Расходы!G55</f>
        <v>2104000</v>
      </c>
      <c r="F11" s="117">
        <f>IF(E11=0,0,Расходы!$C$55)</f>
        <v>2246000</v>
      </c>
      <c r="G11" s="117">
        <f>F11-E11</f>
        <v>142000</v>
      </c>
      <c r="H11" s="117">
        <f>C11-E11</f>
        <v>1086000</v>
      </c>
      <c r="I11" s="118">
        <f>IF(C11=0,0,H11/C11)</f>
        <v>0.340438871473354</v>
      </c>
      <c r="J11" s="117">
        <f>Капитал!G35</f>
        <v>152437000</v>
      </c>
      <c r="K11" s="117">
        <f>Капитал!G36</f>
        <v>5165000</v>
      </c>
      <c r="L11" s="117">
        <f>Капитал!G9</f>
        <v>15452000</v>
      </c>
      <c r="N11" s="115" t="inlineStr">
        <is>
          <t>Апр</t>
        </is>
      </c>
    </row>
    <row r="12" ht="20" customHeight="1">
      <c r="B12" s="112" t="inlineStr">
        <is>
          <t>Май</t>
        </is>
      </c>
      <c r="C12" s="113">
        <f>Доходы!H25</f>
        <v>3234000</v>
      </c>
      <c r="D12" s="113">
        <f>Доходы!H8</f>
        <v>2066000</v>
      </c>
      <c r="E12" s="113">
        <f>Расходы!H55</f>
        <v>1991000</v>
      </c>
      <c r="F12" s="113">
        <f>IF(E12=0,0,Расходы!$C$55)</f>
        <v>2246000</v>
      </c>
      <c r="G12" s="113">
        <f>F12-E12</f>
        <v>255000</v>
      </c>
      <c r="H12" s="113">
        <f>C12-E12</f>
        <v>1243000</v>
      </c>
      <c r="I12" s="114">
        <f>IF(C12=0,0,H12/C12)</f>
        <v>0.384353741496599</v>
      </c>
      <c r="J12" s="113">
        <f>Капитал!H35</f>
        <v>152966000</v>
      </c>
      <c r="K12" s="113">
        <f>Капитал!H36</f>
        <v>529000</v>
      </c>
      <c r="L12" s="113">
        <f>Капитал!H9</f>
        <v>15911000</v>
      </c>
      <c r="N12" s="115" t="inlineStr">
        <is>
          <t>Май</t>
        </is>
      </c>
    </row>
    <row r="13" ht="20" customHeight="1">
      <c r="B13" s="116" t="inlineStr">
        <is>
          <t>Июнь</t>
        </is>
      </c>
      <c r="C13" s="117">
        <f>Доходы!I25</f>
        <v>3653000</v>
      </c>
      <c r="D13" s="117">
        <f>Доходы!I8</f>
        <v>2282000</v>
      </c>
      <c r="E13" s="117">
        <f>Расходы!I55</f>
        <v>1989000</v>
      </c>
      <c r="F13" s="117">
        <f>IF(E13=0,0,Расходы!$C$55)</f>
        <v>2246000</v>
      </c>
      <c r="G13" s="117">
        <f>F13-E13</f>
        <v>257000</v>
      </c>
      <c r="H13" s="117">
        <f>C13-E13</f>
        <v>1664000</v>
      </c>
      <c r="I13" s="118">
        <f>IF(C13=0,0,H13/C13)</f>
        <v>0.455516014234875</v>
      </c>
      <c r="J13" s="117">
        <f>Капитал!I35</f>
        <v>155796000</v>
      </c>
      <c r="K13" s="117">
        <f>Капитал!I36</f>
        <v>2830000</v>
      </c>
      <c r="L13" s="117">
        <f>Капитал!I9</f>
        <v>16171000</v>
      </c>
      <c r="N13" s="115" t="inlineStr">
        <is>
          <t>Июн</t>
        </is>
      </c>
    </row>
    <row r="14" ht="20" customHeight="1">
      <c r="B14" s="112" t="inlineStr">
        <is>
          <t>Июль</t>
        </is>
      </c>
      <c r="C14" s="113">
        <f>Доходы!J25</f>
        <v>3049000</v>
      </c>
      <c r="D14" s="113">
        <f>Доходы!J8</f>
        <v>1692000</v>
      </c>
      <c r="E14" s="113">
        <f>Расходы!J55</f>
        <v>2940000</v>
      </c>
      <c r="F14" s="113">
        <f>IF(E14=0,0,Расходы!$C$55)</f>
        <v>2246000</v>
      </c>
      <c r="G14" s="113">
        <f>F14-E14</f>
        <v>-694000</v>
      </c>
      <c r="H14" s="113">
        <f>C14-E14</f>
        <v>109000</v>
      </c>
      <c r="I14" s="114">
        <f>IF(C14=0,0,H14/C14)</f>
        <v>0.035749426041325</v>
      </c>
      <c r="J14" s="113">
        <f>Капитал!J35</f>
        <v>160354000</v>
      </c>
      <c r="K14" s="113">
        <f>Капитал!J36</f>
        <v>4558000</v>
      </c>
      <c r="L14" s="113">
        <f>Капитал!J9</f>
        <v>16314000</v>
      </c>
      <c r="N14" s="115" t="inlineStr">
        <is>
          <t>Июл</t>
        </is>
      </c>
    </row>
    <row r="15" ht="20" customHeight="1">
      <c r="B15" s="116" t="inlineStr">
        <is>
          <t>Август</t>
        </is>
      </c>
      <c r="C15" s="117">
        <f>Доходы!K25</f>
        <v>2979000</v>
      </c>
      <c r="D15" s="117">
        <f>Доходы!K8</f>
        <v>1797000</v>
      </c>
      <c r="E15" s="117">
        <f>Расходы!K55</f>
        <v>1647000</v>
      </c>
      <c r="F15" s="117">
        <f>IF(E15=0,0,Расходы!$C$55)</f>
        <v>2246000</v>
      </c>
      <c r="G15" s="117">
        <f>F15-E15</f>
        <v>599000</v>
      </c>
      <c r="H15" s="117">
        <f>C15-E15</f>
        <v>1332000</v>
      </c>
      <c r="I15" s="118">
        <f>IF(C15=0,0,H15/C15)</f>
        <v>0.447129909365559</v>
      </c>
      <c r="J15" s="117">
        <f>Капитал!K35</f>
        <v>161898000</v>
      </c>
      <c r="K15" s="117">
        <f>Капитал!K36</f>
        <v>1544000</v>
      </c>
      <c r="L15" s="117">
        <f>Капитал!K9</f>
        <v>16638000</v>
      </c>
      <c r="N15" s="115" t="inlineStr">
        <is>
          <t>Авг</t>
        </is>
      </c>
    </row>
    <row r="16" ht="20" customHeight="1">
      <c r="B16" s="112" t="inlineStr">
        <is>
          <t>Сентябрь</t>
        </is>
      </c>
      <c r="C16" s="113">
        <f>Доходы!L25</f>
        <v>3273000</v>
      </c>
      <c r="D16" s="113">
        <f>Доходы!L8</f>
        <v>1975000</v>
      </c>
      <c r="E16" s="113">
        <f>Расходы!L55</f>
        <v>2514000</v>
      </c>
      <c r="F16" s="113">
        <f>IF(E16=0,0,Расходы!$C$55)</f>
        <v>2246000</v>
      </c>
      <c r="G16" s="113">
        <f>F16-E16</f>
        <v>-268000</v>
      </c>
      <c r="H16" s="113">
        <f>C16-E16</f>
        <v>759000</v>
      </c>
      <c r="I16" s="114">
        <f>IF(C16=0,0,H16/C16)</f>
        <v>0.231897341888176</v>
      </c>
      <c r="J16" s="113">
        <f>Капитал!L35</f>
        <v>163430000</v>
      </c>
      <c r="K16" s="113">
        <f>Капитал!L36</f>
        <v>1532000</v>
      </c>
      <c r="L16" s="113">
        <f>Капитал!L9</f>
        <v>18100000</v>
      </c>
      <c r="N16" s="115" t="inlineStr">
        <is>
          <t>Сен</t>
        </is>
      </c>
    </row>
    <row r="17" ht="20" customHeight="1">
      <c r="B17" s="116" t="inlineStr">
        <is>
          <t>Октябрь</t>
        </is>
      </c>
      <c r="C17" s="117">
        <f>Доходы!M25</f>
        <v>3572000</v>
      </c>
      <c r="D17" s="117">
        <f>Доходы!M8</f>
        <v>2082000</v>
      </c>
      <c r="E17" s="117">
        <f>Расходы!M55</f>
        <v>1959000</v>
      </c>
      <c r="F17" s="117">
        <f>IF(E17=0,0,Расходы!$C$55)</f>
        <v>2246000</v>
      </c>
      <c r="G17" s="117">
        <f>F17-E17</f>
        <v>287000</v>
      </c>
      <c r="H17" s="117">
        <f>C17-E17</f>
        <v>1613000</v>
      </c>
      <c r="I17" s="118">
        <f>IF(C17=0,0,H17/C17)</f>
        <v>0.451567749160134</v>
      </c>
      <c r="J17" s="117">
        <f>Капитал!M35</f>
        <v>168339000</v>
      </c>
      <c r="K17" s="117">
        <f>Капитал!M36</f>
        <v>4909000</v>
      </c>
      <c r="L17" s="117">
        <f>Капитал!M9</f>
        <v>18979000</v>
      </c>
      <c r="N17" s="115" t="inlineStr">
        <is>
          <t>Окт</t>
        </is>
      </c>
    </row>
    <row r="18" ht="20" customHeight="1">
      <c r="B18" s="112" t="inlineStr">
        <is>
          <t>Ноябрь</t>
        </is>
      </c>
      <c r="C18" s="113">
        <f>Доходы!N25</f>
        <v>3273000</v>
      </c>
      <c r="D18" s="113">
        <f>Доходы!N8</f>
        <v>2078000</v>
      </c>
      <c r="E18" s="113">
        <f>Расходы!N55</f>
        <v>1925000</v>
      </c>
      <c r="F18" s="113">
        <f>IF(E18=0,0,Расходы!$C$55)</f>
        <v>2246000</v>
      </c>
      <c r="G18" s="113">
        <f>F18-E18</f>
        <v>321000</v>
      </c>
      <c r="H18" s="113">
        <f>C18-E18</f>
        <v>1348000</v>
      </c>
      <c r="I18" s="114">
        <f>IF(C18=0,0,H18/C18)</f>
        <v>0.411854567674916</v>
      </c>
      <c r="J18" s="113">
        <f>Капитал!N35</f>
        <v>170188000</v>
      </c>
      <c r="K18" s="113">
        <f>Капитал!N36</f>
        <v>1849000</v>
      </c>
      <c r="L18" s="113">
        <f>Капитал!N9</f>
        <v>19798000</v>
      </c>
      <c r="N18" s="115" t="inlineStr">
        <is>
          <t>Ноя</t>
        </is>
      </c>
    </row>
    <row r="19" ht="20" customHeight="1">
      <c r="B19" s="116" t="inlineStr">
        <is>
          <t>Декабрь</t>
        </is>
      </c>
      <c r="C19" s="117">
        <f>Доходы!O25</f>
        <v>4406000</v>
      </c>
      <c r="D19" s="117">
        <f>Доходы!O8</f>
        <v>2986000</v>
      </c>
      <c r="E19" s="117">
        <f>Расходы!O55</f>
        <v>2473000</v>
      </c>
      <c r="F19" s="117">
        <f>IF(E19=0,0,Расходы!$C$55)</f>
        <v>2246000</v>
      </c>
      <c r="G19" s="117">
        <f>F19-E19</f>
        <v>-227000</v>
      </c>
      <c r="H19" s="117">
        <f>C19-E19</f>
        <v>1933000</v>
      </c>
      <c r="I19" s="118">
        <f>IF(C19=0,0,H19/C19)</f>
        <v>0.438719927371766</v>
      </c>
      <c r="J19" s="117">
        <f>Капитал!O35</f>
        <v>171255000</v>
      </c>
      <c r="K19" s="117">
        <f>Капитал!O36</f>
        <v>1067000</v>
      </c>
      <c r="L19" s="117">
        <f>Капитал!O9</f>
        <v>20340000</v>
      </c>
      <c r="N19" s="115" t="inlineStr">
        <is>
          <t>Дек</t>
        </is>
      </c>
    </row>
    <row r="20" ht="20" customHeight="1">
      <c r="B20" s="67" t="inlineStr">
        <is>
          <t>ИТОГО ЗА ГОД</t>
        </is>
      </c>
      <c r="C20" s="67">
        <f>SUM(C8:C19)</f>
        <v>39759000</v>
      </c>
      <c r="D20" s="67">
        <f>SUM(D8:D19)</f>
        <v>24065000</v>
      </c>
      <c r="E20" s="67">
        <f>SUM(E8:E19)</f>
        <v>26481000</v>
      </c>
      <c r="F20" s="67">
        <f>SUM(F8:F19)</f>
        <v>26952000</v>
      </c>
      <c r="G20" s="67">
        <f>SUM(G8:G19)</f>
        <v>471000</v>
      </c>
      <c r="H20" s="67">
        <f>SUM(H8:H19)</f>
        <v>13278000</v>
      </c>
      <c r="I20" s="68">
        <f>IF(C20=0,0,H20/C20)</f>
        <v>0.333962121783747</v>
      </c>
      <c r="J20" s="67">
        <f>INDEX(J8:J19,Старт!$D$22)</f>
        <v>171255000</v>
      </c>
      <c r="K20" s="67">
        <f>J20-J8</f>
        <v>27956000</v>
      </c>
      <c r="L20" s="67">
        <f>INDEX(L8:L19,Старт!$D$22)</f>
        <v>20340000</v>
      </c>
    </row>
    <row r="21" ht="20" customHeight="1">
      <c r="B21" s="79" t="inlineStr">
        <is>
          <t>В среднем в мес</t>
        </is>
      </c>
      <c r="C21" s="79">
        <f>C20/Старт!$D$22</f>
        <v>3313250</v>
      </c>
      <c r="D21" s="79">
        <f>D20/Старт!$D$22</f>
        <v>2005416.66666667</v>
      </c>
      <c r="E21" s="79">
        <f>E20/Старт!$D$22</f>
        <v>2206750</v>
      </c>
      <c r="F21" s="79">
        <f>F20/Старт!$D$22</f>
        <v>2246000</v>
      </c>
      <c r="G21" s="79">
        <f>G20/Старт!$D$22</f>
        <v>39250</v>
      </c>
      <c r="H21" s="79">
        <f>H20/Старт!$D$22</f>
        <v>1106500</v>
      </c>
      <c r="I21" s="119">
        <f>I20</f>
        <v>0.333962121783747</v>
      </c>
      <c r="J21" s="79" t="n"/>
      <c r="K21" s="79">
        <f>K20/Старт!$D$22</f>
        <v>2329666.66666667</v>
      </c>
      <c r="L21" s="79" t="n"/>
    </row>
    <row r="24">
      <c r="B24" s="85" t="inlineStr">
        <is>
          <t>СТРУКТУРА РАСХОДОВ ЗА ГОД</t>
        </is>
      </c>
      <c r="J24" s="85" t="inlineStr">
        <is>
          <t>СТРУКТУРА ДОХОДОВ ЗА ГОД</t>
        </is>
      </c>
    </row>
    <row r="25" ht="30" customHeight="1">
      <c r="B25" s="59" t="inlineStr">
        <is>
          <t>Группа</t>
        </is>
      </c>
      <c r="D25" s="60" t="inlineStr">
        <is>
          <t>Факт</t>
        </is>
      </c>
      <c r="E25" s="60" t="inlineStr">
        <is>
          <t>Бюджет за период</t>
        </is>
      </c>
      <c r="F25" s="60" t="inlineStr">
        <is>
          <t>Отклонение</t>
        </is>
      </c>
      <c r="G25" s="60" t="inlineStr">
        <is>
          <t>Доля</t>
        </is>
      </c>
      <c r="H25" s="60" t="inlineStr">
        <is>
          <t>В среднем в мес</t>
        </is>
      </c>
      <c r="J25" s="59" t="inlineStr">
        <is>
          <t>Источник</t>
        </is>
      </c>
      <c r="K25" s="60" t="inlineStr">
        <is>
          <t>Факт</t>
        </is>
      </c>
      <c r="L25" s="60" t="inlineStr">
        <is>
          <t>Доля</t>
        </is>
      </c>
    </row>
    <row r="26">
      <c r="B26" s="113" t="inlineStr">
        <is>
          <t>Жильё</t>
        </is>
      </c>
      <c r="C26" s="113" t="n"/>
      <c r="D26" s="113">
        <f>Расходы!P8</f>
        <v>4622000</v>
      </c>
      <c r="E26" s="113">
        <f>Расходы!Q8</f>
        <v>4692000</v>
      </c>
      <c r="F26" s="113">
        <f>E26-D26</f>
        <v>70000</v>
      </c>
      <c r="G26" s="114">
        <f>IF($D$37=0,0,D26/$D$37)</f>
        <v>0.174540236395907</v>
      </c>
      <c r="H26" s="113">
        <f>D26/Старт!$D$22</f>
        <v>385166.666666667</v>
      </c>
      <c r="J26" s="113" t="inlineStr">
        <is>
          <t>Бизнес-дивиденды</t>
        </is>
      </c>
      <c r="K26" s="113">
        <f>Доходы!P8</f>
        <v>24065000</v>
      </c>
      <c r="L26" s="114">
        <f>Доходы!R8</f>
        <v>0.605271762368269</v>
      </c>
    </row>
    <row r="27">
      <c r="B27" s="113" t="inlineStr">
        <is>
          <t>Еда</t>
        </is>
      </c>
      <c r="C27" s="113" t="n"/>
      <c r="D27" s="113">
        <f>Расходы!P13</f>
        <v>4015000</v>
      </c>
      <c r="E27" s="113">
        <f>Расходы!Q13</f>
        <v>4020000</v>
      </c>
      <c r="F27" s="113">
        <f>E27-D27</f>
        <v>5000</v>
      </c>
      <c r="G27" s="114">
        <f>IF($D$37=0,0,D27/$D$37)</f>
        <v>0.151618141308863</v>
      </c>
      <c r="H27" s="113">
        <f>D27/Старт!$D$22</f>
        <v>334583.333333333</v>
      </c>
      <c r="J27" s="113" t="inlineStr">
        <is>
          <t>Зарплата</t>
        </is>
      </c>
      <c r="K27" s="113">
        <f>Доходы!P12</f>
        <v>10330000</v>
      </c>
      <c r="L27" s="114">
        <f>Доходы!R12</f>
        <v>0.259815387710959</v>
      </c>
    </row>
    <row r="28">
      <c r="B28" s="113" t="inlineStr">
        <is>
          <t>Семья и дети</t>
        </is>
      </c>
      <c r="C28" s="113" t="n"/>
      <c r="D28" s="113">
        <f>Расходы!P17</f>
        <v>3648000</v>
      </c>
      <c r="E28" s="113">
        <f>Расходы!Q17</f>
        <v>4020000</v>
      </c>
      <c r="F28" s="113">
        <f>E28-D28</f>
        <v>372000</v>
      </c>
      <c r="G28" s="114">
        <f>IF($D$37=0,0,D28/$D$37)</f>
        <v>0.137759148068426</v>
      </c>
      <c r="H28" s="113">
        <f>D28/Старт!$D$22</f>
        <v>304000</v>
      </c>
      <c r="J28" s="113" t="inlineStr">
        <is>
          <t>Инвестиции и акции</t>
        </is>
      </c>
      <c r="K28" s="113">
        <f>Доходы!P15</f>
        <v>1764000</v>
      </c>
      <c r="L28" s="114">
        <f>Доходы!R15</f>
        <v>0.0443673130611937</v>
      </c>
    </row>
    <row r="29">
      <c r="B29" s="113" t="inlineStr">
        <is>
          <t>Транспорт</t>
        </is>
      </c>
      <c r="C29" s="113" t="n"/>
      <c r="D29" s="113">
        <f>Расходы!P22</f>
        <v>1303000</v>
      </c>
      <c r="E29" s="113">
        <f>Расходы!Q22</f>
        <v>1236000</v>
      </c>
      <c r="F29" s="113">
        <f>E29-D29</f>
        <v>-67000</v>
      </c>
      <c r="G29" s="114">
        <f>IF($D$37=0,0,D29/$D$37)</f>
        <v>0.0492050904422038</v>
      </c>
      <c r="H29" s="113">
        <f>D29/Старт!$D$22</f>
        <v>108583.333333333</v>
      </c>
      <c r="J29" s="113" t="inlineStr">
        <is>
          <t>Аренда</t>
        </is>
      </c>
      <c r="K29" s="113">
        <f>Доходы!P19</f>
        <v>3360000</v>
      </c>
      <c r="L29" s="114">
        <f>Доходы!R19</f>
        <v>0.084509167735607</v>
      </c>
    </row>
    <row r="30">
      <c r="B30" s="113" t="inlineStr">
        <is>
          <t>Здоровье и спорт</t>
        </is>
      </c>
      <c r="C30" s="113" t="n"/>
      <c r="D30" s="113">
        <f>Расходы!P27</f>
        <v>1397000</v>
      </c>
      <c r="E30" s="113">
        <f>Расходы!Q27</f>
        <v>1500000</v>
      </c>
      <c r="F30" s="113">
        <f>E30-D30</f>
        <v>103000</v>
      </c>
      <c r="G30" s="114">
        <f>IF($D$37=0,0,D30/$D$37)</f>
        <v>0.0527548053321249</v>
      </c>
      <c r="H30" s="113">
        <f>D30/Старт!$D$22</f>
        <v>116416.666666667</v>
      </c>
      <c r="J30" s="113" t="inlineStr">
        <is>
          <t>Прочее</t>
        </is>
      </c>
      <c r="K30" s="113">
        <f>Доходы!P22</f>
        <v>240000</v>
      </c>
      <c r="L30" s="114">
        <f>Доходы!R22</f>
        <v>0.00603636912397193</v>
      </c>
    </row>
    <row r="31">
      <c r="B31" s="113" t="inlineStr">
        <is>
          <t>Одежда</t>
        </is>
      </c>
      <c r="C31" s="113" t="n"/>
      <c r="D31" s="113">
        <f>Расходы!P32</f>
        <v>1035000</v>
      </c>
      <c r="E31" s="113">
        <f>Расходы!Q32</f>
        <v>984000</v>
      </c>
      <c r="F31" s="113">
        <f>E31-D31</f>
        <v>-51000</v>
      </c>
      <c r="G31" s="114">
        <f>IF($D$37=0,0,D31/$D$37)</f>
        <v>0.0390846267134927</v>
      </c>
      <c r="H31" s="113">
        <f>D31/Старт!$D$22</f>
        <v>86250</v>
      </c>
      <c r="J31" s="67" t="inlineStr">
        <is>
          <t>ИТОГО</t>
        </is>
      </c>
      <c r="K31" s="67">
        <f>SUM(K26:K30)</f>
        <v>39759000</v>
      </c>
      <c r="L31" s="68">
        <f>SUM(L26:L30)</f>
        <v>1</v>
      </c>
    </row>
    <row r="32">
      <c r="B32" s="113" t="inlineStr">
        <is>
          <t>Образование</t>
        </is>
      </c>
      <c r="C32" s="113" t="n"/>
      <c r="D32" s="113">
        <f>Расходы!P35</f>
        <v>1754000</v>
      </c>
      <c r="E32" s="113">
        <f>Расходы!Q35</f>
        <v>1764000</v>
      </c>
      <c r="F32" s="113">
        <f>E32-D32</f>
        <v>10000</v>
      </c>
      <c r="G32" s="114">
        <f>IF($D$37=0,0,D32/$D$37)</f>
        <v>0.0662361693289528</v>
      </c>
      <c r="H32" s="113">
        <f>D32/Старт!$D$22</f>
        <v>146166.666666667</v>
      </c>
    </row>
    <row r="33">
      <c r="B33" s="113" t="inlineStr">
        <is>
          <t>Отдых</t>
        </is>
      </c>
      <c r="C33" s="113" t="n"/>
      <c r="D33" s="113">
        <f>Расходы!P39</f>
        <v>3048000</v>
      </c>
      <c r="E33" s="113">
        <f>Расходы!Q39</f>
        <v>3060000</v>
      </c>
      <c r="F33" s="113">
        <f>E33-D33</f>
        <v>12000</v>
      </c>
      <c r="G33" s="114">
        <f>IF($D$37=0,0,D33/$D$37)</f>
        <v>0.115101393451909</v>
      </c>
      <c r="H33" s="113">
        <f>D33/Старт!$D$22</f>
        <v>254000</v>
      </c>
    </row>
    <row r="34">
      <c r="B34" s="113" t="inlineStr">
        <is>
          <t>Подарки и благотворительность</t>
        </is>
      </c>
      <c r="C34" s="113" t="n"/>
      <c r="D34" s="113">
        <f>Расходы!P43</f>
        <v>1885000</v>
      </c>
      <c r="E34" s="113">
        <f>Расходы!Q43</f>
        <v>1800000</v>
      </c>
      <c r="F34" s="113">
        <f>E34-D34</f>
        <v>-85000</v>
      </c>
      <c r="G34" s="114">
        <f>IF($D$37=0,0,D34/$D$37)</f>
        <v>0.0711831124202258</v>
      </c>
      <c r="H34" s="113">
        <f>D34/Старт!$D$22</f>
        <v>157083.333333333</v>
      </c>
    </row>
    <row r="35">
      <c r="B35" s="113" t="inlineStr">
        <is>
          <t>Кредиты</t>
        </is>
      </c>
      <c r="C35" s="113" t="n"/>
      <c r="D35" s="113">
        <f>Расходы!P47</f>
        <v>3390000</v>
      </c>
      <c r="E35" s="113">
        <f>Расходы!Q47</f>
        <v>3360000</v>
      </c>
      <c r="F35" s="113">
        <f>E35-D35</f>
        <v>-30000</v>
      </c>
      <c r="G35" s="114">
        <f>IF($D$37=0,0,D35/$D$37)</f>
        <v>0.128016313583324</v>
      </c>
      <c r="H35" s="113">
        <f>D35/Старт!$D$22</f>
        <v>282500</v>
      </c>
    </row>
    <row r="36">
      <c r="B36" s="113" t="inlineStr">
        <is>
          <t>Прочее</t>
        </is>
      </c>
      <c r="C36" s="113" t="n"/>
      <c r="D36" s="113">
        <f>Расходы!P51</f>
        <v>384000</v>
      </c>
      <c r="E36" s="113">
        <f>Расходы!Q51</f>
        <v>516000</v>
      </c>
      <c r="F36" s="113">
        <f>E36-D36</f>
        <v>132000</v>
      </c>
      <c r="G36" s="114">
        <f>IF($D$37=0,0,D36/$D$37)</f>
        <v>0.0145009629545712</v>
      </c>
      <c r="H36" s="113">
        <f>D36/Старт!$D$22</f>
        <v>32000</v>
      </c>
    </row>
    <row r="37">
      <c r="B37" s="67" t="inlineStr">
        <is>
          <t>ИТОГО</t>
        </is>
      </c>
      <c r="C37" s="67" t="n"/>
      <c r="D37" s="67">
        <f>SUM(D26:D36)</f>
        <v>26481000</v>
      </c>
      <c r="E37" s="67">
        <f>SUM(E26:E36)</f>
        <v>26952000</v>
      </c>
      <c r="F37" s="67">
        <f>SUM(F26:F36)</f>
        <v>471000</v>
      </c>
      <c r="G37" s="68">
        <f>SUM(G26:G36)</f>
        <v>1</v>
      </c>
      <c r="H37" s="67">
        <f>SUM(H26:H36)</f>
        <v>2206750</v>
      </c>
    </row>
    <row r="39">
      <c r="B39" s="31" t="inlineStr">
        <is>
          <t>© Business Surgery · bxclub.kz</t>
        </is>
      </c>
      <c r="C39" s="32" t="n"/>
      <c r="D39" s="32" t="n"/>
      <c r="E39" s="32" t="n"/>
      <c r="F39" s="32" t="n"/>
      <c r="G39" s="32" t="n"/>
      <c r="H39" s="32" t="n"/>
      <c r="I39" s="32" t="n"/>
      <c r="J39" s="32" t="n"/>
      <c r="K39" s="32" t="n"/>
      <c r="L39" s="33" t="inlineStr">
        <is>
          <t>Шаблон для резидентов клуба</t>
        </is>
      </c>
    </row>
  </sheetData>
  <mergeCells count="13">
    <mergeCell ref="B30:C30"/>
    <mergeCell ref="B29:C29"/>
    <mergeCell ref="B33:C33"/>
    <mergeCell ref="B25:C25"/>
    <mergeCell ref="B34:C34"/>
    <mergeCell ref="B37:C37"/>
    <mergeCell ref="B28:C28"/>
    <mergeCell ref="B36:C36"/>
    <mergeCell ref="B32:C32"/>
    <mergeCell ref="B31:C31"/>
    <mergeCell ref="B26:C26"/>
    <mergeCell ref="B27:C27"/>
    <mergeCell ref="B35:C35"/>
  </mergeCells>
  <conditionalFormatting sqref="G8:H21">
    <cfRule type="cellIs" priority="1" operator="lessThan" dxfId="0">
      <formula>0</formula>
    </cfRule>
  </conditionalFormatting>
  <conditionalFormatting sqref="K8:K21">
    <cfRule type="cellIs" priority="2" operator="lessThan" dxfId="0">
      <formula>0</formula>
    </cfRule>
  </conditionalFormatting>
  <conditionalFormatting sqref="I8:I21">
    <cfRule type="cellIs" priority="3" operator="lessThan" dxfId="0">
      <formula>0</formula>
    </cfRule>
  </conditionalFormatting>
  <conditionalFormatting sqref="F26:F37">
    <cfRule type="cellIs" priority="4" operator="lessThan" dxfId="0">
      <formula>0</formula>
    </cfRule>
  </conditionalFormatting>
  <conditionalFormatting sqref="G26:G36">
    <cfRule type="dataBar" priority="5">
      <dataBar showValue="1">
        <cfvo type="num" val="0"/>
        <cfvo type="max"/>
        <color rgb="00BDBDBD"/>
      </dataBar>
    </cfRule>
  </conditionalFormatting>
  <conditionalFormatting sqref="L26:L30">
    <cfRule type="dataBar" priority="6">
      <dataBar showValue="1">
        <cfvo type="num" val="0"/>
        <cfvo type="max"/>
        <color rgb="00BDBDBD"/>
      </dataBar>
    </cfRule>
  </conditionalFormatting>
  <printOptions horizontalCentered="1"/>
  <pageMargins left="0.4" right="0.4" top="0.6" bottom="0.6" header="0.5" footer="0.5"/>
  <pageSetup orientation="landscape" paperSize="9" fitToHeight="1" fitToWidth="1"/>
  <headerFooter differentFirst="1">
    <oddHeader/>
    <oddFooter>&amp;L&amp;"Arial"&amp;8 © Business Surgery · bxclub.kz&amp;R&amp;"Arial"&amp;8 стр. &amp;P из &amp;N</oddFooter>
    <evenHeader/>
    <evenFooter/>
    <firstHeader/>
    <firstFooter>&amp;L&amp;"Arial"&amp;8 © Business Surgery · bxclub.kz&amp;R&amp;"Arial"&amp;8 стр. &amp;P из &amp;N</firstFooter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Business Surgery</dc:creator>
  <dc:title xmlns:dc="http://purl.org/dc/elements/1.1/">Личный финансовый план</dc:title>
  <dcterms:created xmlns:dcterms="http://purl.org/dc/terms/" xmlns:xsi="http://www.w3.org/2001/XMLSchema-instance" xsi:type="dcterms:W3CDTF">2026-10-02T19:24:43Z</dcterms:created>
  <dcterms:modified xmlns:dcterms="http://purl.org/dc/terms/" xmlns:xsi="http://www.w3.org/2001/XMLSchema-instance" xsi:type="dcterms:W3CDTF">2026-10-02T19:24:43Z</dcterms:modified>
</cp:coreProperties>
</file>